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D0F403EE-9152-4E5F-A9FB-08A8273553A3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balancete_receita" sheetId="1" r:id="rId1"/>
    <sheet name="Planilha2" sheetId="3" r:id="rId2"/>
    <sheet name="Planilha1" sheetId="2" r:id="rId3"/>
  </sheet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F7" i="2" l="1"/>
  <c r="F8" i="2"/>
  <c r="F9" i="2"/>
  <c r="F10" i="2"/>
</calcChain>
</file>

<file path=xl/sharedStrings.xml><?xml version="1.0" encoding="utf-8"?>
<sst xmlns="http://schemas.openxmlformats.org/spreadsheetml/2006/main" count="811" uniqueCount="407">
  <si>
    <t>Ano</t>
  </si>
  <si>
    <t>Mês</t>
  </si>
  <si>
    <t>Classificação</t>
  </si>
  <si>
    <t>Fonte</t>
  </si>
  <si>
    <t>Rubrica</t>
  </si>
  <si>
    <t>Receita</t>
  </si>
  <si>
    <t>Receita Mês (R$)</t>
  </si>
  <si>
    <t>Receita Ano (R$)</t>
  </si>
  <si>
    <t>Receita Orçada (R$)</t>
  </si>
  <si>
    <t>RECEITAS CORRENTES</t>
  </si>
  <si>
    <t>IMPOSTOS, TAXAS E CONTRIBUIÇÕES DE MELHORIA</t>
  </si>
  <si>
    <t>IMPOSTOS</t>
  </si>
  <si>
    <t>IMPOSTOS SOBRE O PATRIMÔNIO</t>
  </si>
  <si>
    <t>IMPOSTO SOBRE A PROPRIEDADE PREDIAL E TERRITORIAL URBANA</t>
  </si>
  <si>
    <t>Imposto sobre a Propriedade Predial Urbana</t>
  </si>
  <si>
    <t>Imposto sobre a Propriedade Territorial Urbana</t>
  </si>
  <si>
    <t>Imposto sobre a Propriedade Predial e Territorial Urbana - Multas e Juros</t>
  </si>
  <si>
    <t>Imposto sobre a Propriedade Predial e Territorial Urbana - Dívida Ativa</t>
  </si>
  <si>
    <t>Imposto sobre a Propriedade Predial e Territorial Urbana - Dívida Ativa - Multas e Juros</t>
  </si>
  <si>
    <t>IMPOSTOS SOBRE TRANSMISSÃO "INTER VIVOS" DE BENS IMÓVEIS E DE DIREITOS REAIS SOBRE IMÓVEIS</t>
  </si>
  <si>
    <t>Imposto sobre Transmissão “Inter Vivos” de Bens Imóveis e de Direitos Reais sobre Imóveis - Principal</t>
  </si>
  <si>
    <t>Imposto sobre Transmissão “Inter Vivos” de Bens Imóveis e de Direitos Reais sobre Imóveis - Multas e Juros</t>
  </si>
  <si>
    <t>IMPOSTOS SOBRE A RENDA E PROVENTOS DE QUALQUER NATUREZA</t>
  </si>
  <si>
    <t>IMPOSTO SOBRE A RENDA - RETIDO NA FONTE</t>
  </si>
  <si>
    <t>IMPOSTO SOBRE A RENDA - RETIDO NA FONTE - TRABALHO</t>
  </si>
  <si>
    <t>Imposto sobre a Renda - Retido na Fonte - Trabalho - Principal</t>
  </si>
  <si>
    <t>Imposto sobre a Renda - Retido na Fonte - Trabalho - Aposentados e Pensionistas</t>
  </si>
  <si>
    <t>IMPOSTO SOBRE A RENDA - RETIDO NA FONTE - OUTROS RENDIMENTOS</t>
  </si>
  <si>
    <t xml:space="preserve">Imposto sobre a Renda - Retido na Fonte - Outros Rendimentos </t>
  </si>
  <si>
    <t>IMPOSTOS SOBRE A PRODUÇÃO E CIRCULAÇÃO DE MERCADORIAS E SERVIÇOS</t>
  </si>
  <si>
    <t>IMPOSTOS SOBRE SERVIÇOS</t>
  </si>
  <si>
    <t>IMPOSTO SOBRE SERVIÇOS DE QUALQUER NATUREZA - ISSQN</t>
  </si>
  <si>
    <t>Imposto sobre Serviços de Qualquer Natureza - Não Lançado</t>
  </si>
  <si>
    <t>Imposto sobre Serviços de Qualquer Natureza - Lançado</t>
  </si>
  <si>
    <t>Imposto sobre Serviços de Qualquer Natureza - Super Simples</t>
  </si>
  <si>
    <t>Imposto sobre Serviços de Qualquer Natureza - STN Convênio</t>
  </si>
  <si>
    <t>Imposto sobre Serviços de Qualquer Natureza - Multas e Juros</t>
  </si>
  <si>
    <t>Imposto sobre Serviços de Qualquer Natureza - Dívida Ativa</t>
  </si>
  <si>
    <t>Imposto sobre Serviços de Qualquer Natureza - Dívida Ativa - Multas e Juros</t>
  </si>
  <si>
    <t>TAXAS</t>
  </si>
  <si>
    <t>TAXAS PELO EXERCÍCIO DO PODER DE POLÍCIA</t>
  </si>
  <si>
    <t>TAXAS DE INSPEÇÃO, CONTROLE E FISCALIZAÇÃO</t>
  </si>
  <si>
    <t>Taxa de Licença para Localização</t>
  </si>
  <si>
    <t>Taxa de Fiscalização e Funcionamento</t>
  </si>
  <si>
    <t>Taxa de Licença para o Exercício do Comércio Ambulante</t>
  </si>
  <si>
    <t>Taxa de Licença Exec. Obras Partic., Arruam., Loteam., e Desmembramento</t>
  </si>
  <si>
    <t>Taxa  de Licença para Publicidade</t>
  </si>
  <si>
    <t>Taxa de Licença p/ Ocup. do Solo e Logradouros Públicos</t>
  </si>
  <si>
    <t>Taxa p/ Permissão de Uso do Solo/ Subsolo/ Aéreo</t>
  </si>
  <si>
    <t>Taxa de Conformidade de Obras e Serviços</t>
  </si>
  <si>
    <t>Taxas de Inspeção, Controle e Fiscalização - Multas e Juros</t>
  </si>
  <si>
    <t>TAXA DE FISCALIZAÇÃO DE VIGILÂNCIA SANITÁRIA</t>
  </si>
  <si>
    <t>Taxa de Fiscalização de Vigilância Sanitária</t>
  </si>
  <si>
    <t>TAXAS PELA PRESTAÇÃO DE SERVIÇOS</t>
  </si>
  <si>
    <t>Taxa de Coleta de Lixo</t>
  </si>
  <si>
    <t>Taxa de Expediente</t>
  </si>
  <si>
    <t>Taxa Apreensão, Dep. Bens, Alinh., Nivel. E Num. de Prédios</t>
  </si>
  <si>
    <t>Taxa de Manutenção - Centro de Controle de Zoonoses - CCZ</t>
  </si>
  <si>
    <t>CONTRIBUIÇÃO DE MELHORIA</t>
  </si>
  <si>
    <t>CONTRIBUIÇÃO DE MELHORIA PARA PAVIMENTAÇÃO E OBRAS COMPLEMENTARES</t>
  </si>
  <si>
    <t>Contribuição de Melhoria para Pavimentação e Obras Complementares - Principal</t>
  </si>
  <si>
    <t>Contribuição de Melhoria para Pavimentação e Obras Complementares - Multas e Juros</t>
  </si>
  <si>
    <t>CONTRIBUIÇÕES</t>
  </si>
  <si>
    <t>CONTRIBUIÇÃO PARA O CUSTEIO DO SERVIÇO DE ILUMINAÇÃO PÚBLICA</t>
  </si>
  <si>
    <t>Contribuição para o Custeio do Serviço de Iluminação Pública - Territorial</t>
  </si>
  <si>
    <t>Contribuição para o Custeio do Serviço de Iluminação Pública - Predial</t>
  </si>
  <si>
    <t>RECEITA PATRIMONIAL</t>
  </si>
  <si>
    <t>EXPLORAÇÃO DO PATRIMÔNIO IMOBILIÁRIO DO ESTADO</t>
  </si>
  <si>
    <t>ALUGUÉIS, ARRENDAMENTOS, FOROS, LAUDÊMIOS, TARIFAS DE OCUPAÇÃO</t>
  </si>
  <si>
    <t>ALUGUÉIS E ARRENDAMENTOS</t>
  </si>
  <si>
    <t>Aluguéis de Imóveis Próprios Públicos</t>
  </si>
  <si>
    <t>FOROS, LAUDÊMIOS E TARIFAS DE OCUPAÇÃO</t>
  </si>
  <si>
    <t>Foros, Laudêmios e Tarifas de Ocupação - Principal</t>
  </si>
  <si>
    <t>CONCESSÃO, PERMISSÃO, AUTORIZAÇÃO OU CESSÃO DO DIREITO DE USO DE BENS IMÓVEIS PÚBLICOS</t>
  </si>
  <si>
    <t>Receita com Utilização do Centro da Juventude Fuad Cury</t>
  </si>
  <si>
    <t>Concessão Onerosa - Arena Esportiva Farma Conde</t>
  </si>
  <si>
    <t>VALORES MOBILIÁRIOS</t>
  </si>
  <si>
    <t>JUROS E CORREÇÕES MONETÁRIAS</t>
  </si>
  <si>
    <t>REMUNERAÇÃO DE DEPÓSITOS BANCÁRIOS</t>
  </si>
  <si>
    <t>Juros Banc. Op. Financeiras - Fundeb</t>
  </si>
  <si>
    <t>Juros Banc. Op. Financeiras - Fundo Municipal de Saúde - FMS</t>
  </si>
  <si>
    <t>Juros Banc. Op. Financeiras - SUS Gestão Plena</t>
  </si>
  <si>
    <t>Juros Banc. Op. Financeiras - AIDS/DST</t>
  </si>
  <si>
    <t>Juros Banc. Op. Financeiras - SUS Municipalização</t>
  </si>
  <si>
    <t>Juros Banc. Op. Financeiras - Fundo Nacional de Saúde - FNS</t>
  </si>
  <si>
    <t>Juros Banc. Op. Financeiras - Secretaria Municipal de Educação - SME</t>
  </si>
  <si>
    <t>Juros Banc. Op. Financeiras - Salário Educação</t>
  </si>
  <si>
    <t>Juros Banc. Op. Financeiras - Programa Nacional de Alimentação Escolar - PNAE/FNDE</t>
  </si>
  <si>
    <t>Juros Banc. Op. Financeiras - Contribuição de Intervenção no Domínio Econômico - CIDE</t>
  </si>
  <si>
    <t>Juros Banc. Op. Financeiras - Fundo Nacional de Assistência Social - FNAS</t>
  </si>
  <si>
    <t>Juros Banc. Op. Financeiras - Contribuição para o Custeio do Serviço de Iluminação Pública</t>
  </si>
  <si>
    <t>Juros Banc. Op. Financeiras - Multas de Trânsito</t>
  </si>
  <si>
    <t>Juros Banc. Op. Financeiras - Zona Azul e Outros</t>
  </si>
  <si>
    <t>Juros Banc. Op. Financeiras - Fundo de Apoio ao Desporto Joseense - FADEJ</t>
  </si>
  <si>
    <t>Juros Banc. Op. Financeiras - Convênios Fundo Nacional de Desenvolvimento da Educação - FNDE</t>
  </si>
  <si>
    <t>Juros Banc. Op. Financeiras - Programa Minha Casa Minha Vida</t>
  </si>
  <si>
    <t>Juros Banc. Op. Financeiras - Fundo Estadual de Recursos Hídricos - FEHIDRO</t>
  </si>
  <si>
    <t>Juros Banc. Op. Financeiras - Outros Convênios Educação</t>
  </si>
  <si>
    <t>Juros Banc. Op. Financeiras - Secretaria de Habitação</t>
  </si>
  <si>
    <t>Juros Banc. Op. Financeiras - Convênio Fundicad - Educação</t>
  </si>
  <si>
    <t>Juros Banc. Op. Financeiras - Convênios Estaduais - Banco do Povo Paulista</t>
  </si>
  <si>
    <t>Juros Banc. Op. Financeiras - Fundo Estadual de Assistência Social - FEAS - Proteção Social Básica, Especial de Média e Alta Complexidade</t>
  </si>
  <si>
    <t>Juros Banc. Op. Financeiras - Royalties</t>
  </si>
  <si>
    <t>Juros Banc. Op. Financeiras - Conv. Agevap - Assoc. Pró-Gestão das Águas da Bacia Hidrográfica do Rio Paraíba do Sul - Programa de Pagto Por Serv. Ambientais - PSA</t>
  </si>
  <si>
    <t>Juros Banc. Op. Financeiras - Fundo Social de Solidariedade</t>
  </si>
  <si>
    <t>Juros Banc. Op. Financeiras - Fundação de Proteção e Defesa do Consumidor - Procon</t>
  </si>
  <si>
    <t>Juros Banc. Op. Financeiras - Fundo Municipal de Conservação Ambiental - Fumcam</t>
  </si>
  <si>
    <t>Juros Banc. Op. Financeiras - Fundo Municipal de Serviços Ecossistêmicos - FMSE</t>
  </si>
  <si>
    <t>Juros Banc. Op. Financeiras - Fundo Municipal de Habitação - FMH</t>
  </si>
  <si>
    <t>Juros Banc. Op. Financeiras - PAC 2 FNDE</t>
  </si>
  <si>
    <t>Juros Banc. Op. Financeiras - Brasil Carinhoso - Manutenção de Novas Turmas</t>
  </si>
  <si>
    <t>Juros Banc. Op. Financeiras - Programa Nacional de Apoio ao Transporte Escolar - PNATE</t>
  </si>
  <si>
    <t>Juros Banc. Op. Financeiras - Programa Dinheiro Direto na Escola - PDDE</t>
  </si>
  <si>
    <t>Juros Banc. Op. Financeiras - Fundo Social de Solidariedade do Estado de São Paulo - Fussesp - Aluguel Social</t>
  </si>
  <si>
    <t>Juros Banc. Op. Financeiras - Fundo Municipal de Turismo - Fumtur</t>
  </si>
  <si>
    <t>Juros Banc. Op. Financeiras - Fundo Nacional de Desenvolvimento da Educação - FNDE - Manutenção Educação Infantil - Novos Estabelecimentos</t>
  </si>
  <si>
    <t>Juros Banc. Op. Financeiras - Fundo Municipal de Transporte - Serviço de Transporte Privado</t>
  </si>
  <si>
    <t>Juros Banc. Op. Financeiras - Fundo Municipal do Idoso - Fumid</t>
  </si>
  <si>
    <t>Juros Banc. Op. Financeiras - Termo de Compromisso MRV - Campo da Mata e Flores/Construção Escola Jardim Mesquita</t>
  </si>
  <si>
    <t>Juros Banc. Op. Financeiras - Modernização da Iluminação Pública</t>
  </si>
  <si>
    <t>Juros Banc. Op. Financeiras - Recursos Próprios</t>
  </si>
  <si>
    <t>Juros Banc. Op. Financeiras - SABESP</t>
  </si>
  <si>
    <t>Juros Banc. Op. Financeiras - Depósitos Judiciais</t>
  </si>
  <si>
    <t>Juros Banc. Op. Financeiras - ABIM</t>
  </si>
  <si>
    <t>Juros Banc. Op. Financeiras - SUS Custeio de Ação e Serviços Públicos de Saúde</t>
  </si>
  <si>
    <t>Juros Banc. Op. Financeiras - Fundo Municipal de Transporte - Serviço de Compartilhamento de Bicicletas e Patinetes</t>
  </si>
  <si>
    <t>Juros Banc. Op. Financeiras - Convênio Agência Nacional de Águas - Revitalização da Bacia Hidrográfica do Rio do Peixe no Distrito de São Francisco Xavier</t>
  </si>
  <si>
    <t>Juros Banc. Op. Financeiras - Multas por Auto de Infração - Procon</t>
  </si>
  <si>
    <t>Juros Banc. Op. Financeiras - Convênio de Instituições Privadas de Ensino na Área de Saúde - Contrapartida</t>
  </si>
  <si>
    <t>Juros Banc. Op. Financeiras - Fundo Municipal de Desenvolvimento Urbano - FMDU</t>
  </si>
  <si>
    <t>Juros Banc. Op. Financeiras - Termo de Compromisso MRV - Estrada Municipal do Bom Retiro</t>
  </si>
  <si>
    <t>Juros Banc. Op. Financeiras - Doação Causa Animal - IPTU</t>
  </si>
  <si>
    <t>Juros Banc. Op. Financeiras - Convênio Estadual - Aquisição de medicamentos para dispensação na atenção básica</t>
  </si>
  <si>
    <t>Juros Banc. Op. Financeiras - FMS - Fundo Municipal de Saúde - Tratamento e Diagnóstico de Câncer</t>
  </si>
  <si>
    <t>Juros Banc. Op. Financeiras - Atividade Complementar Guarda Civil Municipal</t>
  </si>
  <si>
    <t>Juros Banc. Op. Financeiras - Compensação Financeira Recursos Minerais - CFEM</t>
  </si>
  <si>
    <t>Juros Banc. Op. Financeiras - Emenda SIGTV Unidade Vicentina</t>
  </si>
  <si>
    <t>Juros Banc. Op. Financeiras - Cessão Onerosa do Bônus de Assinatura do Pré-Sal</t>
  </si>
  <si>
    <t>Juros Banc. Op. Financeiras - Repasse TJ-SP - Combate ao Coronavírus</t>
  </si>
  <si>
    <t>Juros Banc. Op. Financeiras - Termo de Compromisso Ambiental REVAP Banhado</t>
  </si>
  <si>
    <t>Juros Banc. Op. Financeiras - Termo de Compromisso Ambiental REVAP Pq Augusto Ruschi</t>
  </si>
  <si>
    <t>Juros Banc. Op. Financeiras - Termo de Compromisso Ambiental REVAP Plano de Trabalho Banhado</t>
  </si>
  <si>
    <t>Juros Banc. Op. Financeiras - Acordo MPSP-PMSJC - Combate ao Covid-19</t>
  </si>
  <si>
    <t>Juros Banc. Op. Financeiras - FNAS - Recurso para Combate ao Coronavírus</t>
  </si>
  <si>
    <t>Juros Banc. Op. Financeiras - Emenda parlamentar - Obras de Infraestrutura Viária Arena Municipal de Esportes</t>
  </si>
  <si>
    <t>Juros Banc. Op. Financeiras - Emenda Parlamentar - Proteção ao Cidadão</t>
  </si>
  <si>
    <t>Juros Banc. Op. Financeiras - Polo Gerador de Trafégo - Fundo Municipal de Transporte</t>
  </si>
  <si>
    <t>Juros Banc. Op. Financeiras - Repasse MPT - Compra de EPI's - Combate ao Coronavírus</t>
  </si>
  <si>
    <t>Juros Banc. Op. Financeiras - Outorga Onerosa - Zona Azul</t>
  </si>
  <si>
    <t>Juros Banc. Op. Financeiras - Repasse MPT - Combate ao Covid-19</t>
  </si>
  <si>
    <t>Juros Banc. Op. Financeiras - Convênio Estadual Implantação de Academia ao Ar Livre</t>
  </si>
  <si>
    <t>Juros Banc. Op. Financeiras - COAPES - Contrato Organizativo de Ação Pública Ensino - Saúde</t>
  </si>
  <si>
    <t>Juros Banc. Op. Financeiras - Operação Urbana Consorciada do Bairro Urbanova</t>
  </si>
  <si>
    <t>Juros Banc. Op. Financeiras - Linha Verde - Convênio com Estado de São Paulo/SDR</t>
  </si>
  <si>
    <t>Juros Banc. Op. Financeiras - Convênio Secretaria de Desenvolvimento Regional/SDR - Infraestrutura Urbana</t>
  </si>
  <si>
    <t>Juros Banc. Op. Financeiras - Convênio Ministério da Ciência, Tecnologia, Inovação e Comunicações - Obras de Melhoria e Adequação Pq Tecnológico - Via Emenda Parlamentar</t>
  </si>
  <si>
    <t>Juros Banc. Op. Financeiras - Fundo Municipal dos Direitos da Criança e do Adolescente - FUMDICAD</t>
  </si>
  <si>
    <t>Juros Banc. Op. Financeiras - Convênio Estadual Revitalização e Modern. Pista de Skate do Vista Verde</t>
  </si>
  <si>
    <t>Juros Banc. Op. Financeiras - FNAS - Emenda Parlamentar</t>
  </si>
  <si>
    <t>Juros Banc. Op. Financeiras - Convênio Ministério da Cidadania - Implantação do Projeto Skate na Cidade</t>
  </si>
  <si>
    <t>Juros Banc. Op. Financeiras - Emenda Parlamentar Estadual - Convênio SSP-SP - Secretaria de Proteção ao Cidadão</t>
  </si>
  <si>
    <t>Juros Banc. Op. Financeiras - Repasse MPT - Aquisição de Tomógrafo</t>
  </si>
  <si>
    <t>Juros Banc. Op. Financeiras - FEAS - Abrigo Institucional e Casa de Passagem</t>
  </si>
  <si>
    <t>Juros Banc. Op. Financeiras - Convênio Ministério da Cidadania - Implantação de Núcleo de Alto Rendimento da Modalidade Rugby</t>
  </si>
  <si>
    <t>Juros Banc. Op. Financeiras - Outorga Aeroporto Professor Urbano Stumpf</t>
  </si>
  <si>
    <t>Juros Banc. Op. Financeiras - Ministério do Desenvolvimento Social - IGD - Programa Bolsa Família</t>
  </si>
  <si>
    <t>Juros Banc. Op. Financeiras - Concessão Onerosa - Arena Esportiva Farma Conde</t>
  </si>
  <si>
    <t>Juros Banc. Op. Financeiras - Obras de Revitalização e Modernização do Centro Esportivo Mário Weiss - Emenda Parlamentar</t>
  </si>
  <si>
    <t>Juros Banc. Op. Financeiras - Emenda Parlamentar Individual Estadual - SASC - Assoc. Alpha</t>
  </si>
  <si>
    <t>Juros Banc. Op. Financeiras - Recurso Estadual - Programa Cad Único</t>
  </si>
  <si>
    <t>Juros Banc. Op. Financeiras - Convênio Secretaria de Educação do Estado - Programa de Transporte de Alunos da Rede Estadual de Ensino</t>
  </si>
  <si>
    <t>Juros Banc. Op. Financeiras - Programa Prospera Família</t>
  </si>
  <si>
    <t>Juros Banc. Op. Financeiras - Emenda Parlamentar – Associação Virgem de Guadalupe</t>
  </si>
  <si>
    <t>Juros Banc. Op. Financeiras - Convênio SDE-SP – Formação de Professores e Gestores do CITE e CEDEMP</t>
  </si>
  <si>
    <t>Juros Banc. Op. Financeiras - Convênio Estadual - Cidadania no Campo - Município Agro</t>
  </si>
  <si>
    <t>Juros Banc. Op. Financeiras - Emenda Parlamentar Individual - Transferência Especial - Investimentos Diversos</t>
  </si>
  <si>
    <t>Juros Banc. Op. Financeiras - Convênio CDHU - Programa Morar Bem Viver Melhor</t>
  </si>
  <si>
    <t>Juros Banc. Op. Financeiras - Convênio Secretaria de Educação Estado de São Paulo - Repasse Fundeb</t>
  </si>
  <si>
    <t>Juros Banc. Op. Financeiras - Convênio Secretaria de Educação Estado de São Paulo - Repasse Salário Educação</t>
  </si>
  <si>
    <t>Juros Banc. Op. Financeiras - Convênio Secretaria de Esportes do Estado de São Paulo – Realização de Projeto Esportivo</t>
  </si>
  <si>
    <t>Juros Banc. Op. Financeiras - Cobertura Ginásio Tânia Maria de Carvalho</t>
  </si>
  <si>
    <t>Juros Banc. Op. Financeiras - Assistência Financeira Transporte Coletivo - Art. 5º, inciso IV - EC nº 123/2022</t>
  </si>
  <si>
    <t xml:space="preserve">Juros Banc. Op. Financeiras - Compensação Ambiental - Sistema Viário Via Cambuí </t>
  </si>
  <si>
    <t>Juros Banc. Op. Financeiras - Procad SUAS</t>
  </si>
  <si>
    <t>Juros Banc. Op. Financeiras - Convênio Ministério do Esporte - Modernização do Campo do Esporte Clube Interlagos - Emenda Parlamentar Individual</t>
  </si>
  <si>
    <t>Juros Banc. Op. Financeiras - Convênio Ministério do Esporte - Modernização e Revitalização de Quadras - Emenda Parlamentar Individual</t>
  </si>
  <si>
    <t>Juros Banc. Op. Financeiras - Termo de Compromisso de Compensação Ambiental - Via Cambuí - APA Federal Mananciais Rio Paraíba do Sul</t>
  </si>
  <si>
    <t>Juros Banc. Op. Financeiras - Revitalização e Manutenção da Praça do Jd. Diamante</t>
  </si>
  <si>
    <t>Juros Banc. Op. Financeiras - FNAS - Emenda Parlamentar Individual - Sociedade Holística Humanitária</t>
  </si>
  <si>
    <t>Juros Banc. Op. Financeiras - FNAS - Emenda Parlamentar Individual - Associação para Síndrome de Down de São José dos Campos</t>
  </si>
  <si>
    <t>Juros Banc. Op. Financeiras - Convênio Ministério do Esporte - Modernização e Revitalização de Pistas de Skate no Município de São José dos Campos</t>
  </si>
  <si>
    <t>DIVIDENDOS</t>
  </si>
  <si>
    <t>Dividendos - Principal</t>
  </si>
  <si>
    <t>TRANSFERÊNCIAS CORRENTES</t>
  </si>
  <si>
    <t>TRANSFERÊNCIAS DA UNIÃO E DE SUAS ENTIDADES</t>
  </si>
  <si>
    <t>TRANSFERÊNCIAS DECORRENTES DE PARTICIPAÇÃO NA RECEITA DA UNIÃO</t>
  </si>
  <si>
    <t>COTA-PARTE DO FUNDO DE PARTICIPAÇÃO DOS MUNICÍPIOS - FPM</t>
  </si>
  <si>
    <t>COTA-PARTE DO FUNDO DE PARTICIPAÇÃO DOS MUNICÍPIOS - COTA MENSAL</t>
  </si>
  <si>
    <t>Cota-Parte do Fundo de Participação dos Municípios - Cota Mensal - Principal</t>
  </si>
  <si>
    <t>COTA-PARTE DO FUNDO DE PARTICIPAÇÃO DO MUNICÍPIOS – COTAS EXTRAORDINÁRIAS</t>
  </si>
  <si>
    <t>Cota-Parte do Fundo de Participação do Municípios - 1% Cota entregue no mês de dezembro - EC 55/2007</t>
  </si>
  <si>
    <t>Cota-Parte do Fundo de Participação dos Municípios - 1% Cota entregue no mês de julho - EC 84/2014</t>
  </si>
  <si>
    <t>Cota-Parte do Fundo de Participação do Municípios – 1% Cota entregue no mês de setembro - EC 112/2021</t>
  </si>
  <si>
    <t>COTA-PARTE DO IMPOSTO SOBRE A PROPRIEDADE TERRITORIAL RURAL</t>
  </si>
  <si>
    <t>Cota-Parte do Imposto Sobre a Propriedade Territorial Rural - ITR</t>
  </si>
  <si>
    <t>TRANSFERÊNCIAS DAS COMPENSAÇÕES FINANCEIRAS PELA EXPLORAÇÃO DE RECURSOS NATURAIS</t>
  </si>
  <si>
    <t>COTA-PARTE DA COMPENSAÇÃO FINANCEIRA PELA EXPLORAÇÃO DE RECURSOS HÍDRICOS</t>
  </si>
  <si>
    <t>Cota-parte da Compensação Financeira de Recursos Hídricos - CFH</t>
  </si>
  <si>
    <t>COTA-PARTE DA COMPENSAÇÃO FINANCEIRA PELA EXPLORAÇÃO DE RECURSOS MINERAIS - CFEM</t>
  </si>
  <si>
    <t>Cota-parte da Compensação Financeira de Recursos Minerais - CFEM</t>
  </si>
  <si>
    <t xml:space="preserve">COTA-PARTE DA COMPENSAÇÃO FINANCEIRA PELA PRODUÇÃO DE PETRÓLEO </t>
  </si>
  <si>
    <t>COTA-PARTE DA COMPENSAÇÃO FINANCEIRA PELA PRODUÇÃO DE PETRÓLEO – LEI Nº 7.990/89</t>
  </si>
  <si>
    <t>Cota-parte Royalties - Compensação Financeira pela Produção de Petróleo - Lei nº 7.990/89</t>
  </si>
  <si>
    <t>COTA-PARTE PELO EXCEDENTE DA PRODUÇÃO DO PETRÓLEO – LEI Nº 9.478/97, ARTIGO 49, I E II</t>
  </si>
  <si>
    <t>Cota-Parte Royalties pelo Excedente da Produção do Petróleo - Lei nº 9.478/97, Artigo 49, I e II - Principal</t>
  </si>
  <si>
    <t>COTA-PARTE DO FUNDO ESPECIAL DO PETRÓLEO – FEP</t>
  </si>
  <si>
    <t>Cota-Parte do Fundo Especial do Petróleo – FEP - Principal</t>
  </si>
  <si>
    <t>TRANSFERÊNCIAS DE RECURSOS DO SISTEMA ÚNICO DE SAÚDE – SUS </t>
  </si>
  <si>
    <t>TRANSFERÊNCIAS DE RECURSOS DO SISTEMA ÚNICO DE SAÚDE – SUS – REPASSES FUNDO A FUNDO - BLOCO DE MANUTENÇÃO DAS AÇÕES E SERVIÇOS PÚBLICOS DE SAÚDE</t>
  </si>
  <si>
    <t>TRANSFERÊNCIAS DE RECURSOS DO BLOCO DE MANUTENÇÃO DAS AÇÕES E SERVIÇOS PÚBLICOS DE SAÚDE – ATENÇÃO PRIMÁRIA</t>
  </si>
  <si>
    <t>SUS - Piso Atenção Básica Ampliada - PABA</t>
  </si>
  <si>
    <t>SUS - Atenção Básica - Agente Comunitário de Saúde</t>
  </si>
  <si>
    <t>TRANSFERÊNCIAS DE RECURSOS DO BLOCO DE MANUTENÇÃO DAS AÇÕES E SERVIÇOS PÚBLICOS DE SAÚDE – ATENÇÃO ESPECIALIZADA</t>
  </si>
  <si>
    <t>SUS - Gestão Plena - Sistema de Informações Hospitalares - SIH</t>
  </si>
  <si>
    <t>Transferência de Recursos do SUS - Atenção Especializada - Via Emenda Parlamentar Individual</t>
  </si>
  <si>
    <t>Custeio de Serviços Prestados por Entidades Privadas Sem Fins Lucrativos que Complementem o SUS - LC 197-2022</t>
  </si>
  <si>
    <t>TRANSFERÊNCIAS DE RECURSOS DO BLOCO DE MANUTENÇÃO DAS AÇÕES E SERVIÇOS PÚBLICOS DE SAÚDE – VIGILÂNCIA EM SAÚDE</t>
  </si>
  <si>
    <t>SUS - Vigilância em Saúde - Teto Financeiro da Vigilância Sanitária - TFVS</t>
  </si>
  <si>
    <t>SUS - Vigilância em Saúde - AIDS</t>
  </si>
  <si>
    <t>SUS - Vigilância em Saúde - Agentes de Combate às Endemias</t>
  </si>
  <si>
    <t>TRANSFERÊNCIAS DE RECURSOS DO BLOCO DE MANUTENÇÃO DAS AÇÕES E SERVIÇOS PÚBLICOS DE SAÚDE – ASSISTÊNCIA FARMACÊUTICA</t>
  </si>
  <si>
    <t>SUS - Assistência Farmacêutica - Aquisição de Medicamentos</t>
  </si>
  <si>
    <t>TRANSFERÊNCIAS DE RECURSOS DO BLOCO DE MANUTENÇÃO DAS AÇÕES E SERVIÇOS PÚBLICOS DE SAÚDE – GESTÃO DO SUS</t>
  </si>
  <si>
    <t>Assistência Financeira Complementar da União destinada ao cumprimento dos pisos salariais da enfermagem</t>
  </si>
  <si>
    <t>TRANSFERÊNCIAS DE RECURSOS DO FUNDO NACIONAL DO DESENVOLVIMENTO DA EDUCAÇÃO – FNDE¿ </t>
  </si>
  <si>
    <t>TRANSFERÊNCIAS DO SALÁRIO-EDUCAÇÃO</t>
  </si>
  <si>
    <t>Transferência do Salário Educação - Principal</t>
  </si>
  <si>
    <t>TRANSFERÊNCIAS DIRETAS DO FNDE REFERENTES AO PROGRAMA DINHEIRO DIRETO NA ESCOLA – PDDE</t>
  </si>
  <si>
    <t>Programa Dinheiro Direto na Escola - PDDE</t>
  </si>
  <si>
    <t>TRANSFERÊNCIAS REFERENTES AO PROGRAMA NACIONAL DE ALIMENTAÇÃO ESCOLAR – PNAE</t>
  </si>
  <si>
    <t>Programa Nacional de Alimentação Escolar - PNAE - Pré-Escola</t>
  </si>
  <si>
    <t>Programa Nacional de Alimentação Escolar - PNAE - Atendimento Educacional Especializado - AEE</t>
  </si>
  <si>
    <t>Programa Nacional de Alimentação Escolar - PNAE - Creche</t>
  </si>
  <si>
    <t>Programa Nacional de Alimentação Escolar - PNAE - Ensino Fundamental</t>
  </si>
  <si>
    <t>Programa Nacional de Alimentação Escolar - PNAE - Educação de Jovens e Adultos - EJA</t>
  </si>
  <si>
    <t>Programa Nacional de Alimentação Escolar - PNAE - Ensino Médio</t>
  </si>
  <si>
    <t>TRANSFERÊNCIAS REFERENTES AO PROGRAMA NACIONAL DE APOIO AO TRANSPORTE DO ESCOLAR – PNATE</t>
  </si>
  <si>
    <t>Programa Nacional de Apoio ao Transporte Escolar - PNATE</t>
  </si>
  <si>
    <t>TRANSFERÊNCIAS DE RECURSOS DO FUNDO NACIONAL DE ASSISTÊNCIA SOCIAL – FNAS </t>
  </si>
  <si>
    <t>TRANSFERÊNCIAS DE RECURSOS DO FUNDO NACIONAL DE ASSISTÊNCIA SOCIAL – FNAS</t>
  </si>
  <si>
    <t>Transferências de Recursos do Fundo Nacional de Assistência Social - FNAS</t>
  </si>
  <si>
    <t>Programa Criança Feliz - Fundo Nacional de Assistência Social - FNAS</t>
  </si>
  <si>
    <t>Ministério do Desenvolvimento Social - IGD - Programa Bolsa Família</t>
  </si>
  <si>
    <t>Fundo Nacional de Assistência Social - Emenda Parlamentar Individual - Associação para Síndrome de Down de São José dos Campos</t>
  </si>
  <si>
    <t>TRANSFERÊNCIAS DE CONVÊNIOS DA UNIÃO E DE SUAS ENTIDADES</t>
  </si>
  <si>
    <t>OUTRAS TRANSFERÊNCIAS DE RECURSOS DA UNIÃO E DE SUAS ENTIDADES</t>
  </si>
  <si>
    <t>Programa Minha Casa Minha Vida</t>
  </si>
  <si>
    <t>Restauração Florestal de Áreas de Preservação Permanente - Siconv</t>
  </si>
  <si>
    <t>FNDE - Plano de Ações Articuladas - Reforma EMEF Silvana Maria Ribeiro de Almeida</t>
  </si>
  <si>
    <t>TRANSFERÊNCIA OBRIGATÓRIA DECORRENTE DA LEI COMPLEMENTAR Nº 176/2020</t>
  </si>
  <si>
    <t>Compensação da União - LC 176/2020</t>
  </si>
  <si>
    <t>Programa de Fortalecimento Emergencial do Atendimento do Cadastro Único no SUAS-Procad-Suas</t>
  </si>
  <si>
    <t>TRANSFERÊNCIAS DOS ESTADOS E DO DISTRITO FEDERAL E DE SUAS ENTIDADES</t>
  </si>
  <si>
    <t>PARTICIPAÇÃO NA RECEITA DOS ESTADOS E DISTRITO FEDERAL</t>
  </si>
  <si>
    <t>COTA-PARTE DO ICMS</t>
  </si>
  <si>
    <t>Cota-Parte do ICMS</t>
  </si>
  <si>
    <t>COTA-PARTE DO IPVA</t>
  </si>
  <si>
    <t>Cota-Parte do IPVA</t>
  </si>
  <si>
    <t>COTA-PARTE DO IPI - MUNICÍPIOS</t>
  </si>
  <si>
    <t>Cota-Parte do IPI - Exportação - Lei 61/1989</t>
  </si>
  <si>
    <t>COTA-PARTE DA CONTRIBUIÇÃO DE INTERVENÇÃO NO DOMÍNIO ECONÔMICO</t>
  </si>
  <si>
    <t>Cota-Parte da Contribuição de Intervenção no Domínio Econômico</t>
  </si>
  <si>
    <t>TRANSFERÊNCIAS DE CONVÊNIOS DOS ESTADOS E DF E DE SUAS ENTIDADES</t>
  </si>
  <si>
    <t>TRANSFERÊNCIAS DE CONVÊNIOS DOS ESTADOS E DF PARA O SISTEMA ÚNICO DE SAÚDE – SUS</t>
  </si>
  <si>
    <t>SUS - Municipalização</t>
  </si>
  <si>
    <t>Emenda Parlamentar Individual Estadual - Fundo Municipal de Saúde</t>
  </si>
  <si>
    <t>TRANSFERÊNCIAS DE CONVÊNIOS DOS ESTADOS DESTINADAS A PROGRAMAS DE EDUCAÇÃO</t>
  </si>
  <si>
    <t>Convênio Secretaria de Educação do Estado - Programa de Transporte de Alunos da Rede Estadual de Ensino</t>
  </si>
  <si>
    <t>Convênio Secretaria de Educação do Estado de São Paulo - Programa Parceria Educacional - Repasse Fundeb</t>
  </si>
  <si>
    <t>Convênio Secretaria de Educação do Estado de São Paulo - Programa Parceria Educacional - Repasse Salário Educação</t>
  </si>
  <si>
    <t>OUTRAS TRANSFERÊNCIAS DE CONVÊNIOS DOS ESTADOS E DF E DE SUAS ENTIDADES</t>
  </si>
  <si>
    <t>Fundo Estadual de Recursos Hídricos - FEHIDRO</t>
  </si>
  <si>
    <t>Convênio com a Fundação de Proteção e Defesa do Consumidor - PROCON</t>
  </si>
  <si>
    <t>OUTRAS TRANSFERÊNCIAS DOS ESTADOS E DISTRITO FEDERAL</t>
  </si>
  <si>
    <t>TRANSFERÊNCIAS DE ESTADOS DESTINADAS À ASSISTÊNCIA SOCIAL</t>
  </si>
  <si>
    <t>Fundo Estadual de Assistência Social - FEAS - Proteção Social Básica, Especial de Média e Alta Complexidade</t>
  </si>
  <si>
    <t>Fundo Estadual de Assistência Social - FEAS - Abrigo Institucional e Casa de Passagem</t>
  </si>
  <si>
    <t>OUTRAS TRANSFERÊNCIAS DOS ESTADOS E DF</t>
  </si>
  <si>
    <t>Emenda Parlamentar - Revitalização e manutenção da Praça do Jd. Diamante</t>
  </si>
  <si>
    <t>TRANSFERÊNCIAS DE INSTITUIÇÕES PRIVADAS</t>
  </si>
  <si>
    <t>TRANSFERÊNCIAS DE CONVÊNIOS DE INSTITUIÇÕES PRIVADAS PARA PROGRAMAS DE SAÚDE</t>
  </si>
  <si>
    <t>Convênio de Instituições Privadas de Ensino na Área de Saúde - Contrapartida</t>
  </si>
  <si>
    <t>TRANSFERÊNCIAS DE OUTRAS INSTITUIÇÕES PÚBLICAS</t>
  </si>
  <si>
    <t>TRANSFERÊNCIAS DE RECURSOS DO FUNDO DE MANUTENÇÃO E DESENVOLVIMENTO DA EDUCAÇÃO BÁSICA E DE VALORIZAÇÃO DOS PROFISSIONAIS DA EDUCAÇÃO - FUNDEB</t>
  </si>
  <si>
    <t>TRANSFERÊNCIAS DE RECURSOS DO FUNDO DE MANUTENÇÃO E DESENVOLVIMENTO DA EDUCAÇÃO BÁSICA E DE VALORIZAÇÃO DOS PROFISSIONAIS DA EDUCAÇÃO – FUNDEB</t>
  </si>
  <si>
    <t>FUNDEB - FPM</t>
  </si>
  <si>
    <t>FUNDEB - ITR</t>
  </si>
  <si>
    <t>FUNDEB - ICMS</t>
  </si>
  <si>
    <t>FUNDEB - IPI</t>
  </si>
  <si>
    <t>FUNDEB - IPVA</t>
  </si>
  <si>
    <t>FUNDEB - ITCMD</t>
  </si>
  <si>
    <t>FUNDEB - FPE</t>
  </si>
  <si>
    <t>FUNDEB - VAAR - Valor Aluno Ano por Resultado</t>
  </si>
  <si>
    <t>OUTRAS RECEITAS CORRENTES</t>
  </si>
  <si>
    <t>MULTAS ADMINISTRATIVAS, CONTRATUAIS E JUDICIAIS</t>
  </si>
  <si>
    <t>MULTAS PREVISTAS EM LEGISLAÇÃO ESPECÍFICA</t>
  </si>
  <si>
    <t>MULTAS PREVISTAS EM LEGISLAÇÃO ESPECÍFICA -  PRINCIPAL</t>
  </si>
  <si>
    <t>Multas por Auto de Infração - Recursos Próprios</t>
  </si>
  <si>
    <t>Multas por Auto de Infração - Fundo Municipal de Saúde - FMS</t>
  </si>
  <si>
    <t>Multas por Auto de Infração - Vigilância Sanitária</t>
  </si>
  <si>
    <t>Multas por Auto de Infração - Combate à Dengue</t>
  </si>
  <si>
    <t>Multas por Auto de Infração - Procon</t>
  </si>
  <si>
    <t>MULTAS PREVISTAS EM LEGISLAÇÃO ESPECÍFICA -  MULTAS E JUROS</t>
  </si>
  <si>
    <t>Juros de Mora - Procon</t>
  </si>
  <si>
    <t>MULTAS PREVISTAS EM LEGISLAÇÃO ESPECÍFICA -  DÍVIDA ATIVA</t>
  </si>
  <si>
    <t>Dívida Ativa Não Tributária - Multas por Auto de Infração - Recursos Próprios</t>
  </si>
  <si>
    <t>Dívida Ativa - Multa por Auto de Infração - Procon</t>
  </si>
  <si>
    <t>MULTAS PREVISTAS EM LEGISLAÇÃO ESPECÍFICA - DÍVIDA ATIVA - MULTAS E JUROS</t>
  </si>
  <si>
    <t>Dívida Ativa - Juros de Mora, Multa e Atualização Monetária - Procon</t>
  </si>
  <si>
    <t>MULTAS E JUROS PREVISTOS EM CONTRATOS</t>
  </si>
  <si>
    <t>Multas e Juros Previstos em Contratos -  Principal</t>
  </si>
  <si>
    <t>MULTAS PREVISTAS NO CÓDIGO DE TRÂNSITO BRASILEIRO - CTB</t>
  </si>
  <si>
    <t>Multas Previstas na Legislação de Trânsito - Normal</t>
  </si>
  <si>
    <t>Multas Previstas na Legislação de Trânsito - Funset</t>
  </si>
  <si>
    <t>Div. Ativa Não Trib. - Multas Prev. Legislação de Trânsito - Normal</t>
  </si>
  <si>
    <t>Div. Ativa Não Trib. - Multas Prev. Legislação de Trânsito - Parcelamento</t>
  </si>
  <si>
    <t>INDENIZAÇÕES, RESTITUIÇÕES E RESSARCIMENTOS</t>
  </si>
  <si>
    <t>INDENIZAÇÕES</t>
  </si>
  <si>
    <t>OUTRAS INDENIZAÇÕES</t>
  </si>
  <si>
    <t>Indenizações</t>
  </si>
  <si>
    <t>RESTITUIÇÕES</t>
  </si>
  <si>
    <t>RESTITUIÇÃO DE DESPESAS DE EXERCÍCIOS ANTERIORES</t>
  </si>
  <si>
    <t>RESTITUIÇÃO DE DESPESAS PRIMÁRIAS DE EXERCÍCIOS ANTERIORES</t>
  </si>
  <si>
    <t>Restituição de Despesas de Exercícios Anteriores</t>
  </si>
  <si>
    <t>DEMAIS RECEITAS CORRENTES</t>
  </si>
  <si>
    <t>OUTRAS RECEITAS</t>
  </si>
  <si>
    <t xml:space="preserve">OUTRAS RECEITAS NÃO ARRECADADAS E NÃO PROJETADAS PELA RFB - PRIMÁRIAS  </t>
  </si>
  <si>
    <t>Fundo Municipal de Assistência Social - FMAS</t>
  </si>
  <si>
    <t>Fundo de Apoio ao Desporto Joseense - FADEJ</t>
  </si>
  <si>
    <t>Fundo Municipal de Turismo - FUMTUR</t>
  </si>
  <si>
    <t>Diversas Rendas - Recursos Próprios</t>
  </si>
  <si>
    <t>Diversas Rendas - Fundo Municipal de Saúde - FMS</t>
  </si>
  <si>
    <t>Zona Azul e outras</t>
  </si>
  <si>
    <t>Fundo Social de Solidariedade</t>
  </si>
  <si>
    <t>Fundo Municipal Antidrogas</t>
  </si>
  <si>
    <t>Contrato Sabesp - 5% da Rec. Líquida</t>
  </si>
  <si>
    <t>Fundo Municipal de Habitação - FMH</t>
  </si>
  <si>
    <t>Fundo Municipal de Preservação do Patr. Histórico, Artístico, Paisagístico e Cultural - FUMPHAC</t>
  </si>
  <si>
    <t>Fundo Municipal do Idoso</t>
  </si>
  <si>
    <t>Fundo Municipal de Serviços Ecossistêmicos</t>
  </si>
  <si>
    <t>Fundo Municipal de Conservação Ambiental - FUMCAM</t>
  </si>
  <si>
    <t>Fundo Municipal de Transportes - Serviço de Transporte Privado</t>
  </si>
  <si>
    <t>Fundo Municipal de Transportes -  Serviço de Compartilhamento de Bicicletas e Patinetes</t>
  </si>
  <si>
    <t>Doação Causa Animal - IPTU</t>
  </si>
  <si>
    <t>Fundo Municipal de Desenvolvimento Urbano - FMDU</t>
  </si>
  <si>
    <t>Atividade Complementar Guarda Civil Municipal</t>
  </si>
  <si>
    <t>Fundo Municipal dos Direitos da Criança e do Adolescente - FUMDICAD</t>
  </si>
  <si>
    <t>Divida Ativa Não Tributária - Outras</t>
  </si>
  <si>
    <t>Multas e Juros de Mora da Dívida Ativa de Outros Tributos</t>
  </si>
  <si>
    <t>RECEITAS DE CAPITAL</t>
  </si>
  <si>
    <t>TRANSFERÊNCIAS DE CAPITAL</t>
  </si>
  <si>
    <t>TRANSFERÊNCIAS DE RECURSOS DO SISTEMA ÚNICO DE SAÚDE - SUS</t>
  </si>
  <si>
    <t>OUTRAS TRANSFERÊNCIAS DE RECURSOS DO SISTEMA ÚNICO DE SAÚDE - SUS</t>
  </si>
  <si>
    <t>SUS - Fundo Nacional de Saúde - Via Emenda Parlamentar Individual</t>
  </si>
  <si>
    <t>Fundo Nacional de Assistência Social - Emenda Parlamentar Individual - Sociedade Holística Humanitária</t>
  </si>
  <si>
    <t>TRANSFERÊNCIAS DE CONVÊNIOS DA UNIÃO E DE SUAS ENTIDADES </t>
  </si>
  <si>
    <t>OUTRAS TRANSFERÊNCIAS DE CONVÊNIOS DA UNIÃO E DE SUAS ENTIDADES</t>
  </si>
  <si>
    <t>Programa de Aceleração do Crescimento - PAC 2 - FNDE - Programa de Construção de Quadras Poliesportivas</t>
  </si>
  <si>
    <t>Convênio Ministério do Esporte - Modernização do Campo do Esporte do Clube Interlagos - Via Emenda Parlamentar</t>
  </si>
  <si>
    <t>Convênio Ministério do Esporte - Modernização e Revitalização de Quadras - Via Emenda Parlamentar</t>
  </si>
  <si>
    <t>Convênio Ministério do Esporte - Modernização e Revitalização de Pistas de Skate no Município de São José dos Campos</t>
  </si>
  <si>
    <t>Emenda Parlamentar Individual - Transferência Especial - Investimentos Diversos</t>
  </si>
  <si>
    <t>TRANSFERÊNCIAS DE CONVÊNIOS DOS ESTADOS E DF E DE SUAS ENTIDADES </t>
  </si>
  <si>
    <t>Convênio Departamento de Estradas e Rodagem - DER - Via Jaguari</t>
  </si>
  <si>
    <t>Emenda Parlamentar Individual Estadual - FEAS - Grupo de Apoio ao Indivíduo com Autismo e Afins GAIA e Obra Social Padre Bonafé</t>
  </si>
  <si>
    <t>OUTRAS TRANSFERÊNCIAS DE RECURSOS DOS ESTADOS</t>
  </si>
  <si>
    <t>Emenda Parlamentar Individual Estadual - SASC - Assoc. Alpha</t>
  </si>
  <si>
    <t>OUTRAS TRANSFERÊNCIAS DE INSTITUIÇÕES PRIVADAS</t>
  </si>
  <si>
    <t>Convênio de Instituições Privadas de Ensino na Área de Saúde - Contrapartida - Investimentos</t>
  </si>
  <si>
    <t>Polo Gerador de Trafégo - Fundo Municipal de Transporte</t>
  </si>
  <si>
    <t>COAPES - Contrato Organizativo de Ação Pública Ensino - Saúde</t>
  </si>
  <si>
    <t>RECEITAS CORRENTES - INTRA OFSS</t>
  </si>
  <si>
    <t>OUTRAS RECEITAS CORRENTES - INTRA OFSS</t>
  </si>
  <si>
    <t>DEMAIS RECEITAS CORRENTES - INTRA OFSS</t>
  </si>
  <si>
    <t>OUTRAS RECEITAS NÃO ARRECADADAS E NÃO PROJETADAS PELA RFB – PRIMÁRIAS – INTRA OFSS</t>
  </si>
  <si>
    <t>Fundo Municipal de Conservação Ambiental - FUMCAM - Intraorçamentária</t>
  </si>
  <si>
    <t>Dedução da Receita Corrente</t>
  </si>
  <si>
    <t>Dedução</t>
  </si>
  <si>
    <t>Dedução da Receita</t>
  </si>
  <si>
    <t>Dedução de Receita para Formação do Fundeb - União</t>
  </si>
  <si>
    <t>Dedução de Receita para Formação do Fundeb - FPM</t>
  </si>
  <si>
    <t>Dedução de Receita para Formação Do Fundeb - ITR</t>
  </si>
  <si>
    <t>Dedução para Formação do Fundeb - Estadual</t>
  </si>
  <si>
    <t>Dedução de Receita para Formação do Fundeb - ICMS</t>
  </si>
  <si>
    <t>Dedução de Receita para Formação do Fundeb - IPVA</t>
  </si>
  <si>
    <t>Dedução de Receita para Formação do Fundeb - IPI</t>
  </si>
  <si>
    <t>Rótulos de Linha</t>
  </si>
  <si>
    <t>Total Geral</t>
  </si>
  <si>
    <t>(Tudo)</t>
  </si>
  <si>
    <t>Soma de Classificação</t>
  </si>
  <si>
    <t>Soma de Receita Mês (R$)</t>
  </si>
  <si>
    <t>Soma de Receita Ano (R$)</t>
  </si>
  <si>
    <t>Soma de Receita Orçada (R$)</t>
  </si>
  <si>
    <t>Soma de Receita Ano</t>
  </si>
  <si>
    <t>Soma de Receita Mês</t>
  </si>
  <si>
    <t>Receita Orçada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</si>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</sst>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0" fillId="0" borderId="10" xfId="0" applyBorder="1"/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1" xfId="0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" fontId="0" fillId="0" borderId="17" xfId="0" applyNumberFormat="1" applyBorder="1" applyAlignment="1">
      <alignment horizontal="center"/>
    </xf>
    <xf numFmtId="4" fontId="0" fillId="0" borderId="18" xfId="0" applyNumberFormat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3"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D$7" fmlaRange="balancete_receita!$F:$F" noThreeD="1" sel="0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10</xdr:col>
          <xdr:colOff>285750</xdr:colOff>
          <xdr:row>5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1485900</xdr:colOff>
          <xdr:row>13</xdr:row>
          <xdr:rowOff>9525</xdr:rowOff>
        </xdr:from>
        <xdr:to>
          <xdr:col>8</xdr:col>
          <xdr:colOff>9525</xdr:colOff>
          <xdr:row>16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para o 0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934432175927" createdVersion="6" refreshedVersion="6" minRefreshableVersion="3" recordCount="409" xr:uid="{00000000-000A-0000-FFFF-FFFF06000000}">
  <cacheSource type="worksheet">
    <worksheetSource ref="A1:I1048576" sheet="balancete_receita"/>
  </cacheSource>
  <cacheFields count="9">
    <cacheField name="Ano" numFmtId="0">
      <sharedItems containsString="0" containsBlank="1" containsNumber="1" containsInteger="1" minValue="2023" maxValue="2023" count="2">
        <n v="2023"/>
        <m/>
      </sharedItems>
    </cacheField>
    <cacheField name="Mês" numFmtId="0">
      <sharedItems containsString="0" containsBlank="1" containsNumber="1" containsInteger="1" minValue="8" maxValue="8"/>
    </cacheField>
    <cacheField name="Classificação" numFmtId="0">
      <sharedItems containsString="0" containsBlank="1" containsNumber="1" containsInteger="1" minValue="10000000000" maxValue="917215201001" count="409">
        <n v="10000000000"/>
        <n v="11000000000"/>
        <n v="11100000000"/>
        <n v="11120000000"/>
        <n v="11125000000"/>
        <n v="11125001001"/>
        <n v="11125001002"/>
        <n v="11125002001"/>
        <n v="11125003001"/>
        <n v="11125004001"/>
        <n v="11125300000"/>
        <n v="11125301001"/>
        <n v="11125302001"/>
        <n v="11130000000"/>
        <n v="11130300000"/>
        <n v="11130310000"/>
        <n v="11130311001"/>
        <n v="11130311002"/>
        <n v="11130340000"/>
        <n v="11130341001"/>
        <n v="11140000000"/>
        <n v="11145100000"/>
        <n v="11145110000"/>
        <n v="11145111001"/>
        <n v="11145111002"/>
        <n v="11145111003"/>
        <n v="11145111004"/>
        <n v="11145112001"/>
        <n v="11145113001"/>
        <n v="11145114001"/>
        <n v="11200000000"/>
        <n v="11210000000"/>
        <n v="11210100000"/>
        <n v="11210101001"/>
        <n v="11210101002"/>
        <n v="11210101003"/>
        <n v="11210101004"/>
        <n v="11210101005"/>
        <n v="11210101006"/>
        <n v="11210101007"/>
        <n v="11210101008"/>
        <n v="11210102001"/>
        <n v="11215000000"/>
        <n v="11215001001"/>
        <n v="11220000000"/>
        <n v="11220100000"/>
        <n v="11220101001"/>
        <n v="11220101002"/>
        <n v="11220101003"/>
        <n v="11220101004"/>
        <n v="11300000000"/>
        <n v="11310000000"/>
        <n v="11315300000"/>
        <n v="11315301001"/>
        <n v="11315302001"/>
        <n v="12000000000"/>
        <n v="12400000000"/>
        <n v="12410000000"/>
        <n v="12415000000"/>
        <n v="12415001001"/>
        <n v="12415001002"/>
        <n v="13000000000"/>
        <n v="13100000000"/>
        <n v="13110000000"/>
        <n v="13110100000"/>
        <n v="13110110000"/>
        <n v="13110111001"/>
        <n v="13110120000"/>
        <n v="13110121001"/>
        <n v="13110200000"/>
        <n v="13110201001"/>
        <n v="13110201004"/>
        <n v="13200000000"/>
        <n v="13210000000"/>
        <n v="13210100000"/>
        <n v="13210101001"/>
        <n v="13210101002"/>
        <n v="13210101003"/>
        <n v="13210101005"/>
        <n v="13210101006"/>
        <n v="13210101007"/>
        <n v="13210101008"/>
        <n v="13210101009"/>
        <n v="13210101010"/>
        <n v="13210101012"/>
        <n v="13210101013"/>
        <n v="13210101014"/>
        <n v="13210101016"/>
        <n v="13210101017"/>
        <n v="13210101018"/>
        <n v="13210101022"/>
        <n v="13210101024"/>
        <n v="13210101025"/>
        <n v="13210101027"/>
        <n v="13210101028"/>
        <n v="13210101036"/>
        <n v="13210101040"/>
        <n v="13210101041"/>
        <n v="13210101042"/>
        <n v="13210101045"/>
        <n v="13210101048"/>
        <n v="13210101049"/>
        <n v="13210101050"/>
        <n v="13210101051"/>
        <n v="13210101053"/>
        <n v="13210101054"/>
        <n v="13210101055"/>
        <n v="13210101056"/>
        <n v="13210101057"/>
        <n v="13210101058"/>
        <n v="13210101059"/>
        <n v="13210101060"/>
        <n v="13210101061"/>
        <n v="13210101067"/>
        <n v="13210101068"/>
        <n v="13210101069"/>
        <n v="13210101070"/>
        <n v="13210101071"/>
        <n v="13210101072"/>
        <n v="13210101073"/>
        <n v="13210101074"/>
        <n v="13210101076"/>
        <n v="13210101082"/>
        <n v="13210101083"/>
        <n v="13210101085"/>
        <n v="13210101086"/>
        <n v="13210101087"/>
        <n v="13210101089"/>
        <n v="13210101093"/>
        <n v="13210101095"/>
        <n v="13210101096"/>
        <n v="13210101098"/>
        <n v="13210101100"/>
        <n v="13210101101"/>
        <n v="13210101103"/>
        <n v="13210101107"/>
        <n v="13210101108"/>
        <n v="13210101109"/>
        <n v="13210101110"/>
        <n v="13210101112"/>
        <n v="13210101113"/>
        <n v="13210101114"/>
        <n v="13210101115"/>
        <n v="13210101117"/>
        <n v="13210101128"/>
        <n v="13210101131"/>
        <n v="13210101132"/>
        <n v="13210101133"/>
        <n v="13210101134"/>
        <n v="13210101135"/>
        <n v="13210101137"/>
        <n v="13210101138"/>
        <n v="13210101140"/>
        <n v="13210101141"/>
        <n v="13210101142"/>
        <n v="13210101144"/>
        <n v="13210101145"/>
        <n v="13210101146"/>
        <n v="13210101147"/>
        <n v="13210101148"/>
        <n v="13210101149"/>
        <n v="13210101150"/>
        <n v="13210101151"/>
        <n v="13210101152"/>
        <n v="13210101153"/>
        <n v="13210101154"/>
        <n v="13210101157"/>
        <n v="13210101158"/>
        <n v="13210101159"/>
        <n v="13210101160"/>
        <n v="13210101161"/>
        <n v="13210101162"/>
        <n v="13210101163"/>
        <n v="13210101164"/>
        <n v="13210101165"/>
        <n v="13210101166"/>
        <n v="13210101167"/>
        <n v="13210101168"/>
        <n v="13210101169"/>
        <n v="13210101170"/>
        <n v="13210101171"/>
        <n v="13210101172"/>
        <n v="13210101173"/>
        <n v="13210101174"/>
        <n v="13210101175"/>
        <n v="13210101176"/>
        <n v="13210101179"/>
        <n v="13220000000"/>
        <n v="13220100000"/>
        <n v="13220101001"/>
        <n v="17000000000"/>
        <n v="17100000000"/>
        <n v="17110000000"/>
        <n v="17115100000"/>
        <n v="17115110000"/>
        <n v="17115111001"/>
        <n v="17115120000"/>
        <n v="17115121001"/>
        <n v="17115121002"/>
        <n v="17115121003"/>
        <n v="17115200000"/>
        <n v="17115201001"/>
        <n v="17120000000"/>
        <n v="17125000000"/>
        <n v="17125001001"/>
        <n v="17125100000"/>
        <n v="17125101001"/>
        <n v="17125200000"/>
        <n v="17125210000"/>
        <n v="17125211001"/>
        <n v="17125220000"/>
        <n v="17125221001"/>
        <n v="17125240000"/>
        <n v="17125241001"/>
        <n v="17130000000"/>
        <n v="17135000000"/>
        <n v="17135010000"/>
        <n v="17135011001"/>
        <n v="17135011004"/>
        <n v="17135020000"/>
        <n v="17135021001"/>
        <n v="17135021002"/>
        <n v="17135021003"/>
        <n v="17135030000"/>
        <n v="17135031001"/>
        <n v="17135031002"/>
        <n v="17135031003"/>
        <n v="17135040000"/>
        <n v="17135041001"/>
        <n v="17135050000"/>
        <n v="17135051002"/>
        <n v="17140000000"/>
        <n v="17145000000"/>
        <n v="17145001001"/>
        <n v="17145100000"/>
        <n v="17145101001"/>
        <n v="17145200000"/>
        <n v="17145201001"/>
        <n v="17145201002"/>
        <n v="17145201003"/>
        <n v="17145201004"/>
        <n v="17145201005"/>
        <n v="17145201006"/>
        <n v="17145300000"/>
        <n v="17145301001"/>
        <n v="17160000000"/>
        <n v="17165000000"/>
        <n v="17165001001"/>
        <n v="17165001002"/>
        <n v="17165001006"/>
        <n v="17165001008"/>
        <n v="17170000000"/>
        <n v="17179900000"/>
        <n v="17179901001"/>
        <n v="17179901002"/>
        <n v="17179901007"/>
        <n v="17190000000"/>
        <n v="17195800000"/>
        <n v="17195801001"/>
        <n v="17199900000"/>
        <n v="17199901008"/>
        <n v="17200000000"/>
        <n v="17210000000"/>
        <n v="17215000000"/>
        <n v="17215001001"/>
        <n v="17215100000"/>
        <n v="17215101001"/>
        <n v="17215200000"/>
        <n v="17215201001"/>
        <n v="17215300000"/>
        <n v="17215301001"/>
        <n v="17240000000"/>
        <n v="17245000000"/>
        <n v="17245001001"/>
        <n v="17245001003"/>
        <n v="17245100000"/>
        <n v="17245101002"/>
        <n v="17245101004"/>
        <n v="17245101005"/>
        <n v="17249900000"/>
        <n v="17249901002"/>
        <n v="17249901003"/>
        <n v="17290000000"/>
        <n v="17295100000"/>
        <n v="17295101001"/>
        <n v="17295101002"/>
        <n v="17299900000"/>
        <n v="17299901002"/>
        <n v="17400000000"/>
        <n v="17410000000"/>
        <n v="17415000000"/>
        <n v="17415001001"/>
        <n v="17500000000"/>
        <n v="17510000000"/>
        <n v="17515000000"/>
        <n v="17515001001"/>
        <n v="17515001002"/>
        <n v="17515001004"/>
        <n v="17515001005"/>
        <n v="17515001006"/>
        <n v="17515001007"/>
        <n v="17515001008"/>
        <n v="17515001009"/>
        <n v="19000000000"/>
        <n v="19100000000"/>
        <n v="19110000000"/>
        <n v="19110100000"/>
        <n v="19110101000"/>
        <n v="19110101004"/>
        <n v="19110101005"/>
        <n v="19110101006"/>
        <n v="19110101008"/>
        <n v="19110101009"/>
        <n v="19110102000"/>
        <n v="19110102001"/>
        <n v="19110103000"/>
        <n v="19110103003"/>
        <n v="19110103004"/>
        <n v="19110104000"/>
        <n v="19110104001"/>
        <n v="19110900000"/>
        <n v="19110901000"/>
        <n v="19111400000"/>
        <n v="19111401001"/>
        <n v="19111401003"/>
        <n v="19111404001"/>
        <n v="19111404002"/>
        <n v="19200000000"/>
        <n v="19210000000"/>
        <n v="19219900000"/>
        <n v="19219901001"/>
        <n v="19220000000"/>
        <n v="19220600000"/>
        <n v="19220630000"/>
        <n v="19220631001"/>
        <n v="19900000000"/>
        <n v="19990000000"/>
        <n v="19999900000"/>
        <n v="19999920000"/>
        <n v="19999921001"/>
        <n v="19999921002"/>
        <n v="19999921003"/>
        <n v="19999921004"/>
        <n v="19999921005"/>
        <n v="19999921006"/>
        <n v="19999921007"/>
        <n v="19999921008"/>
        <n v="19999921009"/>
        <n v="19999921010"/>
        <n v="19999921011"/>
        <n v="19999921012"/>
        <n v="19999921013"/>
        <n v="19999921014"/>
        <n v="19999921018"/>
        <n v="19999921019"/>
        <n v="19999921020"/>
        <n v="19999921021"/>
        <n v="19999921023"/>
        <n v="19999921032"/>
        <n v="19999923001"/>
        <n v="19999924001"/>
        <n v="20000000000"/>
        <n v="24000000000"/>
        <n v="24100000000"/>
        <n v="24110000000"/>
        <n v="24119900000"/>
        <n v="24119901005"/>
        <n v="24130000000"/>
        <n v="24135000000"/>
        <n v="24135001003"/>
        <n v="24140000000"/>
        <n v="24149900000"/>
        <n v="24149901008"/>
        <n v="24149901023"/>
        <n v="24149901035"/>
        <n v="24149901036"/>
        <n v="24190000000"/>
        <n v="24199900000"/>
        <n v="24199901006"/>
        <n v="24200000000"/>
        <n v="24220000000"/>
        <n v="24229900000"/>
        <n v="24229901004"/>
        <n v="24229901017"/>
        <n v="24290000000"/>
        <n v="24299900000"/>
        <n v="24299901000"/>
        <n v="24400000000"/>
        <n v="24410000000"/>
        <n v="24419900000"/>
        <n v="24419901003"/>
        <n v="24419901006"/>
        <n v="24419901007"/>
        <n v="70000000000"/>
        <n v="79000000000"/>
        <n v="79900000000"/>
        <n v="79999920000"/>
        <n v="79999921000"/>
        <n v="900000000000"/>
        <n v="910000000000"/>
        <n v="917000000000"/>
        <n v="917100000000"/>
        <n v="917115111001"/>
        <n v="917115201001"/>
        <n v="917200000000"/>
        <n v="917215001001"/>
        <n v="917215101001"/>
        <n v="917215201001"/>
        <m/>
      </sharedItems>
    </cacheField>
    <cacheField name="Fonte" numFmtId="0">
      <sharedItems containsString="0" containsBlank="1" containsNumber="1" containsInteger="1" minValue="1" maxValue="7" count="7">
        <m/>
        <n v="1"/>
        <n v="6"/>
        <n v="3"/>
        <n v="2"/>
        <n v="5"/>
        <n v="7"/>
      </sharedItems>
    </cacheField>
    <cacheField name="Rubrica" numFmtId="0">
      <sharedItems containsString="0" containsBlank="1" containsNumber="1" containsInteger="1" minValue="19" maxValue="2997"/>
    </cacheField>
    <cacheField name="Receita" numFmtId="0">
      <sharedItems containsBlank="1" count="382">
        <s v="RECEITAS CORRENTES"/>
        <s v="IMPOSTOS, TAXAS E CONTRIBUIÇÕES DE MELHORIA"/>
        <s v="IMPOSTOS"/>
        <s v="IMPOSTOS SOBRE O PATRIMÔNIO"/>
        <s v="IMPOSTO SOBRE A PROPRIEDADE PREDIAL E TERRITORIAL URBANA"/>
        <s v="Imposto sobre a Propriedade Predial Urbana"/>
        <s v="Imposto sobre a Propriedade Territorial Urbana"/>
        <s v="Imposto sobre a Propriedade Predial e Territorial Urbana - Multas e Juros"/>
        <s v="Imposto sobre a Propriedade Predial e Territorial Urbana - Dívida Ativa"/>
        <s v="Imposto sobre a Propriedade Predial e Territorial Urbana - Dívida Ativa - Multas e Juros"/>
        <s v="IMPOSTOS SOBRE TRANSMISSÃO &quot;INTER VIVOS&quot; DE BENS IMÓVEIS E DE DIREITOS REAIS SOBRE IMÓVEIS"/>
        <s v="Imposto sobre Transmissão “Inter Vivos” de Bens Imóveis e de Direitos Reais sobre Imóveis - Principal"/>
        <s v="Imposto sobre Transmissão “Inter Vivos” de Bens Imóveis e de Direitos Reais sobre Imóveis - Multas e Juros"/>
        <s v="IMPOSTOS SOBRE A RENDA E PROVENTOS DE QUALQUER NATUREZA"/>
        <s v="IMPOSTO SOBRE A RENDA - RETIDO NA FONTE"/>
        <s v="IMPOSTO SOBRE A RENDA - RETIDO NA FONTE - TRABALHO"/>
        <s v="Imposto sobre a Renda - Retido na Fonte - Trabalho - Principal"/>
        <s v="Imposto sobre a Renda - Retido na Fonte - Trabalho - Aposentados e Pensionistas"/>
        <s v="IMPOSTO SOBRE A RENDA - RETIDO NA FONTE - OUTROS RENDIMENTOS"/>
        <s v="Imposto sobre a Renda - Retido na Fonte - Outros Rendimentos "/>
        <s v="IMPOSTOS SOBRE A PRODUÇÃO E CIRCULAÇÃO DE MERCADORIAS E SERVIÇOS"/>
        <s v="IMPOSTOS SOBRE SERVIÇOS"/>
        <s v="IMPOSTO SOBRE SERVIÇOS DE QUALQUER NATUREZA - ISSQN"/>
        <s v="Imposto sobre Serviços de Qualquer Natureza - Não Lançado"/>
        <s v="Imposto sobre Serviços de Qualquer Natureza - Lançado"/>
        <s v="Imposto sobre Serviços de Qualquer Natureza - Super Simples"/>
        <s v="Imposto sobre Serviços de Qualquer Natureza - STN Convênio"/>
        <s v="Imposto sobre Serviços de Qualquer Natureza - Multas e Juros"/>
        <s v="Imposto sobre Serviços de Qualquer Natureza - Dívida Ativa"/>
        <s v="Imposto sobre Serviços de Qualquer Natureza - Dívida Ativa - Multas e Juros"/>
        <s v="TAXAS"/>
        <s v="TAXAS PELO EXERCÍCIO DO PODER DE POLÍCIA"/>
        <s v="TAXAS DE INSPEÇÃO, CONTROLE E FISCALIZAÇÃO"/>
        <s v="Taxa de Licença para Localização"/>
        <s v="Taxa de Fiscalização e Funcionamento"/>
        <s v="Taxa de Licença para o Exercício do Comércio Ambulante"/>
        <s v="Taxa de Licença Exec. Obras Partic., Arruam., Loteam., e Desmembramento"/>
        <s v="Taxa  de Licença para Publicidade"/>
        <s v="Taxa de Licença p/ Ocup. do Solo e Logradouros Públicos"/>
        <s v="Taxa p/ Permissão de Uso do Solo/ Subsolo/ Aéreo"/>
        <s v="Taxa de Conformidade de Obras e Serviços"/>
        <s v="Taxas de Inspeção, Controle e Fiscalização - Multas e Juros"/>
        <s v="TAXA DE FISCALIZAÇÃO DE VIGILÂNCIA SANITÁRIA"/>
        <s v="TAXAS PELA PRESTAÇÃO DE SERVIÇOS"/>
        <s v="Taxa de Coleta de Lixo"/>
        <s v="Taxa de Expediente"/>
        <s v="Taxa Apreensão, Dep. Bens, Alinh., Nivel. E Num. de Prédios"/>
        <s v="Taxa de Manutenção - Centro de Controle de Zoonoses - CCZ"/>
        <s v="CONTRIBUIÇÃO DE MELHORIA"/>
        <s v="CONTRIBUIÇÃO DE MELHORIA PARA PAVIMENTAÇÃO E OBRAS COMPLEMENTARES"/>
        <s v="Contribuição de Melhoria para Pavimentação e Obras Complementares - Principal"/>
        <s v="Contribuição de Melhoria para Pavimentação e Obras Complementares - Multas e Juros"/>
        <s v="CONTRIBUIÇÕES"/>
        <s v="CONTRIBUIÇÃO PARA O CUSTEIO DO SERVIÇO DE ILUMINAÇÃO PÚBLICA"/>
        <s v="Contribuição para o Custeio do Serviço de Iluminação Pública - Territorial"/>
        <s v="Contribuição para o Custeio do Serviço de Iluminação Pública - Predial"/>
        <s v="RECEITA PATRIMONIAL"/>
        <s v="EXPLORAÇÃO DO PATRIMÔNIO IMOBILIÁRIO DO ESTADO"/>
        <s v="ALUGUÉIS, ARRENDAMENTOS, FOROS, LAUDÊMIOS, TARIFAS DE OCUPAÇÃO"/>
        <s v="ALUGUÉIS E ARRENDAMENTOS"/>
        <s v="Aluguéis de Imóveis Próprios Públicos"/>
        <s v="FOROS, LAUDÊMIOS E TARIFAS DE OCUPAÇÃO"/>
        <s v="Foros, Laudêmios e Tarifas de Ocupação - Principal"/>
        <s v="CONCESSÃO, PERMISSÃO, AUTORIZAÇÃO OU CESSÃO DO DIREITO DE USO DE BENS IMÓVEIS PÚBLICOS"/>
        <s v="Receita com Utilização do Centro da Juventude Fuad Cury"/>
        <s v="Concessão Onerosa - Arena Esportiva Farma Conde"/>
        <s v="VALORES MOBILIÁRIOS"/>
        <s v="JUROS E CORREÇÕES MONETÁRIAS"/>
        <s v="REMUNERAÇÃO DE DEPÓSITOS BANCÁRIOS"/>
        <s v="Juros Banc. Op. Financeiras - Fundeb"/>
        <s v="Juros Banc. Op. Financeiras - Fundo Municipal de Saúde - FMS"/>
        <s v="Juros Banc. Op. Financeiras - SUS Gestão Plena"/>
        <s v="Juros Banc. Op. Financeiras - AIDS/DST"/>
        <s v="Juros Banc. Op. Financeiras - SUS Municipalização"/>
        <s v="Juros Banc. Op. Financeiras - Fundo Nacional de Saúde - FNS"/>
        <s v="Juros Banc. Op. Financeiras - Secretaria Municipal de Educação - SME"/>
        <s v="Juros Banc. Op. Financeiras - Salário Educação"/>
        <s v="Juros Banc. Op. Financeiras - Programa Nacional de Alimentação Escolar - PNAE/FNDE"/>
        <s v="Juros Banc. Op. Financeiras - Contribuição de Intervenção no Domínio Econômico - CIDE"/>
        <s v="Juros Banc. Op. Financeiras - Fundo Nacional de Assistência Social - FNAS"/>
        <s v="Juros Banc. Op. Financeiras - Contribuição para o Custeio do Serviço de Iluminação Pública"/>
        <s v="Juros Banc. Op. Financeiras - Multas de Trânsito"/>
        <s v="Juros Banc. Op. Financeiras - Zona Azul e Outros"/>
        <s v="Juros Banc. Op. Financeiras - Fundo de Apoio ao Desporto Joseense - FADEJ"/>
        <s v="Juros Banc. Op. Financeiras - Convênios Fundo Nacional de Desenvolvimento da Educação - FNDE"/>
        <s v="Juros Banc. Op. Financeiras - Programa Minha Casa Minha Vida"/>
        <s v="Juros Banc. Op. Financeiras - Fundo Estadual de Recursos Hídricos - FEHIDRO"/>
        <s v="Juros Banc. Op. Financeiras - Outros Convênios Educação"/>
        <s v="Juros Banc. Op. Financeiras - Secretaria de Habitação"/>
        <s v="Juros Banc. Op. Financeiras - Convênio Fundicad - Educação"/>
        <s v="Juros Banc. Op. Financeiras - Convênios Estaduais - Banco do Povo Paulista"/>
        <s v="Juros Banc. Op. Financeiras - Fundo Estadual de Assistência Social - FEAS - Proteção Social Básica, Especial de Média e Alta Complexidade"/>
        <s v="Juros Banc. Op. Financeiras - Royalties"/>
        <s v="Juros Banc. Op. Financeiras - Conv. Agevap - Assoc. Pró-Gestão das Águas da Bacia Hidrográfica do Rio Paraíba do Sul - Programa de Pagto Por Serv. Ambientais - PSA"/>
        <s v="Juros Banc. Op. Financeiras - Fundo Social de Solidariedade"/>
        <s v="Juros Banc. Op. Financeiras - Fundação de Proteção e Defesa do Consumidor - Procon"/>
        <s v="Juros Banc. Op. Financeiras - Fundo Municipal de Conservação Ambiental - Fumcam"/>
        <s v="Juros Banc. Op. Financeiras - Fundo Municipal de Serviços Ecossistêmicos - FMSE"/>
        <s v="Juros Banc. Op. Financeiras - Fundo Municipal de Habitação - FMH"/>
        <s v="Juros Banc. Op. Financeiras - PAC 2 FNDE"/>
        <s v="Juros Banc. Op. Financeiras - Brasil Carinhoso - Manutenção de Novas Turmas"/>
        <s v="Juros Banc. Op. Financeiras - Programa Nacional de Apoio ao Transporte Escolar - PNATE"/>
        <s v="Juros Banc. Op. Financeiras - Programa Dinheiro Direto na Escola - PDDE"/>
        <s v="Juros Banc. Op. Financeiras - Fundo Social de Solidariedade do Estado de São Paulo - Fussesp - Aluguel Social"/>
        <s v="Juros Banc. Op. Financeiras - Fundo Municipal de Turismo - Fumtur"/>
        <s v="Juros Banc. Op. Financeiras - Fundo Nacional de Desenvolvimento da Educação - FNDE - Manutenção Educação Infantil - Novos Estabelecimentos"/>
        <s v="Juros Banc. Op. Financeiras - Fundo Municipal de Transporte - Serviço de Transporte Privado"/>
        <s v="Juros Banc. Op. Financeiras - Fundo Municipal do Idoso - Fumid"/>
        <s v="Juros Banc. Op. Financeiras - Termo de Compromisso MRV - Campo da Mata e Flores/Construção Escola Jardim Mesquita"/>
        <s v="Juros Banc. Op. Financeiras - Modernização da Iluminação Pública"/>
        <s v="Juros Banc. Op. Financeiras - Recursos Próprios"/>
        <s v="Juros Banc. Op. Financeiras - SABESP"/>
        <s v="Juros Banc. Op. Financeiras - Depósitos Judiciais"/>
        <s v="Juros Banc. Op. Financeiras - ABIM"/>
        <s v="Juros Banc. Op. Financeiras - SUS Custeio de Ação e Serviços Públicos de Saúde"/>
        <s v="Juros Banc. Op. Financeiras - Fundo Municipal de Transporte - Serviço de Compartilhamento de Bicicletas e Patinetes"/>
        <s v="Juros Banc. Op. Financeiras - Convênio Agência Nacional de Águas - Revitalização da Bacia Hidrográfica do Rio do Peixe no Distrito de São Francisco Xavier"/>
        <s v="Juros Banc. Op. Financeiras - Multas por Auto de Infração - Procon"/>
        <s v="Juros Banc. Op. Financeiras - Convênio de Instituições Privadas de Ensino na Área de Saúde - Contrapartida"/>
        <s v="Juros Banc. Op. Financeiras - Fundo Municipal de Desenvolvimento Urbano - FMDU"/>
        <s v="Juros Banc. Op. Financeiras - Termo de Compromisso MRV - Estrada Municipal do Bom Retiro"/>
        <s v="Juros Banc. Op. Financeiras - Doação Causa Animal - IPTU"/>
        <s v="Juros Banc. Op. Financeiras - Convênio Estadual - Aquisição de medicamentos para dispensação na atenção básica"/>
        <s v="Juros Banc. Op. Financeiras - FMS - Fundo Municipal de Saúde - Tratamento e Diagnóstico de Câncer"/>
        <s v="Juros Banc. Op. Financeiras - Atividade Complementar Guarda Civil Municipal"/>
        <s v="Juros Banc. Op. Financeiras - Compensação Financeira Recursos Minerais - CFEM"/>
        <s v="Juros Banc. Op. Financeiras - Emenda SIGTV Unidade Vicentina"/>
        <s v="Juros Banc. Op. Financeiras - Cessão Onerosa do Bônus de Assinatura do Pré-Sal"/>
        <s v="Juros Banc. Op. Financeiras - Repasse TJ-SP - Combate ao Coronavírus"/>
        <s v="Juros Banc. Op. Financeiras - Termo de Compromisso Ambiental REVAP Banhado"/>
        <s v="Juros Banc. Op. Financeiras - Termo de Compromisso Ambiental REVAP Pq Augusto Ruschi"/>
        <s v="Juros Banc. Op. Financeiras - Termo de Compromisso Ambiental REVAP Plano de Trabalho Banhado"/>
        <s v="Juros Banc. Op. Financeiras - Acordo MPSP-PMSJC - Combate ao Covid-19"/>
        <s v="Juros Banc. Op. Financeiras - FNAS - Recurso para Combate ao Coronavírus"/>
        <s v="Juros Banc. Op. Financeiras - Emenda parlamentar - Obras de Infraestrutura Viária Arena Municipal de Esportes"/>
        <s v="Juros Banc. Op. Financeiras - Emenda Parlamentar - Proteção ao Cidadão"/>
        <s v="Juros Banc. Op. Financeiras - Polo Gerador de Trafégo - Fundo Municipal de Transporte"/>
        <s v="Juros Banc. Op. Financeiras - Repasse MPT - Compra de EPI's - Combate ao Coronavírus"/>
        <s v="Juros Banc. Op. Financeiras - Outorga Onerosa - Zona Azul"/>
        <s v="Juros Banc. Op. Financeiras - Repasse MPT - Combate ao Covid-19"/>
        <s v="Juros Banc. Op. Financeiras - Convênio Estadual Implantação de Academia ao Ar Livre"/>
        <s v="Juros Banc. Op. Financeiras - COAPES - Contrato Organizativo de Ação Pública Ensino - Saúde"/>
        <s v="Juros Banc. Op. Financeiras - Operação Urbana Consorciada do Bairro Urbanova"/>
        <s v="Juros Banc. Op. Financeiras - Linha Verde - Convênio com Estado de São Paulo/SDR"/>
        <s v="Juros Banc. Op. Financeiras - Convênio Secretaria de Desenvolvimento Regional/SDR - Infraestrutura Urbana"/>
        <s v="Juros Banc. Op. Financeiras - Convênio Ministério da Ciência, Tecnologia, Inovação e Comunicações - Obras de Melhoria e Adequação Pq Tecnológico - Via Emenda Parlamentar"/>
        <s v="Juros Banc. Op. Financeiras - Fundo Municipal dos Direitos da Criança e do Adolescente - FUMDICAD"/>
        <s v="Juros Banc. Op. Financeiras - Convênio Estadual Revitalização e Modern. Pista de Skate do Vista Verde"/>
        <s v="Juros Banc. Op. Financeiras - FNAS - Emenda Parlamentar"/>
        <s v="Juros Banc. Op. Financeiras - Convênio Ministério da Cidadania - Implantação do Projeto Skate na Cidade"/>
        <s v="Juros Banc. Op. Financeiras - Emenda Parlamentar Estadual - Convênio SSP-SP - Secretaria de Proteção ao Cidadão"/>
        <s v="Juros Banc. Op. Financeiras - Repasse MPT - Aquisição de Tomógrafo"/>
        <s v="Juros Banc. Op. Financeiras - FEAS - Abrigo Institucional e Casa de Passagem"/>
        <s v="Juros Banc. Op. Financeiras - Convênio Ministério da Cidadania - Implantação de Núcleo de Alto Rendimento da Modalidade Rugby"/>
        <s v="Juros Banc. Op. Financeiras - Outorga Aeroporto Professor Urbano Stumpf"/>
        <s v="Juros Banc. Op. Financeiras - Ministério do Desenvolvimento Social - IGD - Programa Bolsa Família"/>
        <s v="Juros Banc. Op. Financeiras - Concessão Onerosa - Arena Esportiva Farma Conde"/>
        <s v="Juros Banc. Op. Financeiras - Obras de Revitalização e Modernização do Centro Esportivo Mário Weiss - Emenda Parlamentar"/>
        <s v="Juros Banc. Op. Financeiras - Emenda Parlamentar Individual Estadual - SASC - Assoc. Alpha"/>
        <s v="Juros Banc. Op. Financeiras - Recurso Estadual - Programa Cad Único"/>
        <s v="Juros Banc. Op. Financeiras - Convênio Secretaria de Educação do Estado - Programa de Transporte de Alunos da Rede Estadual de Ensino"/>
        <s v="Juros Banc. Op. Financeiras - Programa Prospera Família"/>
        <s v="Juros Banc. Op. Financeiras - Emenda Parlamentar – Associação Virgem de Guadalupe"/>
        <s v="Juros Banc. Op. Financeiras - Convênio SDE-SP – Formação de Professores e Gestores do CITE e CEDEMP"/>
        <s v="Juros Banc. Op. Financeiras - Convênio Estadual - Cidadania no Campo - Município Agro"/>
        <s v="Juros Banc. Op. Financeiras - Emenda Parlamentar Individual - Transferência Especial - Investimentos Diversos"/>
        <s v="Juros Banc. Op. Financeiras - Convênio CDHU - Programa Morar Bem Viver Melhor"/>
        <s v="Juros Banc. Op. Financeiras - Convênio Secretaria de Educação Estado de São Paulo - Repasse Fundeb"/>
        <s v="Juros Banc. Op. Financeiras - Convênio Secretaria de Educação Estado de São Paulo - Repasse Salário Educação"/>
        <s v="Juros Banc. Op. Financeiras - Convênio Secretaria de Esportes do Estado de São Paulo – Realização de Projeto Esportivo"/>
        <s v="Juros Banc. Op. Financeiras - Cobertura Ginásio Tânia Maria de Carvalho"/>
        <s v="Juros Banc. Op. Financeiras - Assistência Financeira Transporte Coletivo - Art. 5º, inciso IV - EC nº 123/2022"/>
        <s v="Juros Banc. Op. Financeiras - Compensação Ambiental - Sistema Viário Via Cambuí "/>
        <s v="Juros Banc. Op. Financeiras - Procad SUAS"/>
        <s v="Juros Banc. Op. Financeiras - Convênio Ministério do Esporte - Modernização do Campo do Esporte Clube Interlagos - Emenda Parlamentar Individual"/>
        <s v="Juros Banc. Op. Financeiras - Convênio Ministério do Esporte - Modernização e Revitalização de Quadras - Emenda Parlamentar Individual"/>
        <s v="Juros Banc. Op. Financeiras - Termo de Compromisso de Compensação Ambiental - Via Cambuí - APA Federal Mananciais Rio Paraíba do Sul"/>
        <s v="Juros Banc. Op. Financeiras - Revitalização e Manutenção da Praça do Jd. Diamante"/>
        <s v="Juros Banc. Op. Financeiras - FNAS - Emenda Parlamentar Individual - Sociedade Holística Humanitária"/>
        <s v="Juros Banc. Op. Financeiras - FNAS - Emenda Parlamentar Individual - Associação para Síndrome de Down de São José dos Campos"/>
        <s v="Juros Banc. Op. Financeiras - Convênio Ministério do Esporte - Modernização e Revitalização de Pistas de Skate no Município de São José dos Campos"/>
        <s v="DIVIDENDOS"/>
        <s v="Dividendos - Principal"/>
        <s v="TRANSFERÊNCIAS CORRENTES"/>
        <s v="TRANSFERÊNCIAS DA UNIÃO E DE SUAS ENTIDADES"/>
        <s v="TRANSFERÊNCIAS DECORRENTES DE PARTICIPAÇÃO NA RECEITA DA UNIÃO"/>
        <s v="COTA-PARTE DO FUNDO DE PARTICIPAÇÃO DOS MUNICÍPIOS - FPM"/>
        <s v="COTA-PARTE DO FUNDO DE PARTICIPAÇÃO DOS MUNICÍPIOS - COTA MENSAL"/>
        <s v="Cota-Parte do Fundo de Participação dos Municípios - Cota Mensal - Principal"/>
        <s v="COTA-PARTE DO FUNDO DE PARTICIPAÇÃO DO MUNICÍPIOS – COTAS EXTRAORDINÁRIAS"/>
        <s v="Cota-Parte do Fundo de Participação do Municípios - 1% Cota entregue no mês de dezembro - EC 55/2007"/>
        <s v="Cota-Parte do Fundo de Participação dos Municípios - 1% Cota entregue no mês de julho - EC 84/2014"/>
        <s v="Cota-Parte do Fundo de Participação do Municípios – 1% Cota entregue no mês de setembro - EC 112/2021"/>
        <s v="COTA-PARTE DO IMPOSTO SOBRE A PROPRIEDADE TERRITORIAL RURAL"/>
        <s v="Cota-Parte do Imposto Sobre a Propriedade Territorial Rural - ITR"/>
        <s v="TRANSFERÊNCIAS DAS COMPENSAÇÕES FINANCEIRAS PELA EXPLORAÇÃO DE RECURSOS NATURAIS"/>
        <s v="COTA-PARTE DA COMPENSAÇÃO FINANCEIRA PELA EXPLORAÇÃO DE RECURSOS HÍDRICOS"/>
        <s v="Cota-parte da Compensação Financeira de Recursos Hídricos - CFH"/>
        <s v="COTA-PARTE DA COMPENSAÇÃO FINANCEIRA PELA EXPLORAÇÃO DE RECURSOS MINERAIS - CFEM"/>
        <s v="Cota-parte da Compensação Financeira de Recursos Minerais - CFEM"/>
        <s v="COTA-PARTE DA COMPENSAÇÃO FINANCEIRA PELA PRODUÇÃO DE PETRÓLEO "/>
        <s v="COTA-PARTE DA COMPENSAÇÃO FINANCEIRA PELA PRODUÇÃO DE PETRÓLEO – LEI Nº 7.990/89"/>
        <s v="Cota-parte Royalties - Compensação Financeira pela Produção de Petróleo - Lei nº 7.990/89"/>
        <s v="COTA-PARTE PELO EXCEDENTE DA PRODUÇÃO DO PETRÓLEO – LEI Nº 9.478/97, ARTIGO 49, I E II"/>
        <s v="Cota-Parte Royalties pelo Excedente da Produção do Petróleo - Lei nº 9.478/97, Artigo 49, I e II - Principal"/>
        <s v="COTA-PARTE DO FUNDO ESPECIAL DO PETRÓLEO – FEP"/>
        <s v="Cota-Parte do Fundo Especial do Petróleo – FEP - Principal"/>
        <s v="TRANSFERÊNCIAS DE RECURSOS DO SISTEMA ÚNICO DE SAÚDE – SUS "/>
        <s v="TRANSFERÊNCIAS DE RECURSOS DO SISTEMA ÚNICO DE SAÚDE – SUS – REPASSES FUNDO A FUNDO - BLOCO DE MANUTENÇÃO DAS AÇÕES E SERVIÇOS PÚBLICOS DE SAÚDE"/>
        <s v="TRANSFERÊNCIAS DE RECURSOS DO BLOCO DE MANUTENÇÃO DAS AÇÕES E SERVIÇOS PÚBLICOS DE SAÚDE – ATENÇÃO PRIMÁRIA"/>
        <s v="SUS - Piso Atenção Básica Ampliada - PABA"/>
        <s v="SUS - Atenção Básica - Agente Comunitário de Saúde"/>
        <s v="TRANSFERÊNCIAS DE RECURSOS DO BLOCO DE MANUTENÇÃO DAS AÇÕES E SERVIÇOS PÚBLICOS DE SAÚDE – ATENÇÃO ESPECIALIZADA"/>
        <s v="SUS - Gestão Plena - Sistema de Informações Hospitalares - SIH"/>
        <s v="Transferência de Recursos do SUS - Atenção Especializada - Via Emenda Parlamentar Individual"/>
        <s v="Custeio de Serviços Prestados por Entidades Privadas Sem Fins Lucrativos que Complementem o SUS - LC 197-2022"/>
        <s v="TRANSFERÊNCIAS DE RECURSOS DO BLOCO DE MANUTENÇÃO DAS AÇÕES E SERVIÇOS PÚBLICOS DE SAÚDE – VIGILÂNCIA EM SAÚDE"/>
        <s v="SUS - Vigilância em Saúde - Teto Financeiro da Vigilância Sanitária - TFVS"/>
        <s v="SUS - Vigilância em Saúde - AIDS"/>
        <s v="SUS - Vigilância em Saúde - Agentes de Combate às Endemias"/>
        <s v="TRANSFERÊNCIAS DE RECURSOS DO BLOCO DE MANUTENÇÃO DAS AÇÕES E SERVIÇOS PÚBLICOS DE SAÚDE – ASSISTÊNCIA FARMACÊUTICA"/>
        <s v="SUS - Assistência Farmacêutica - Aquisição de Medicamentos"/>
        <s v="TRANSFERÊNCIAS DE RECURSOS DO BLOCO DE MANUTENÇÃO DAS AÇÕES E SERVIÇOS PÚBLICOS DE SAÚDE – GESTÃO DO SUS"/>
        <s v="Assistência Financeira Complementar da União destinada ao cumprimento dos pisos salariais da enfermagem"/>
        <s v="TRANSFERÊNCIAS DE RECURSOS DO FUNDO NACIONAL DO DESENVOLVIMENTO DA EDUCAÇÃO – FNDE¿ "/>
        <s v="TRANSFERÊNCIAS DO SALÁRIO-EDUCAÇÃO"/>
        <s v="Transferência do Salário Educação - Principal"/>
        <s v="TRANSFERÊNCIAS DIRETAS DO FNDE REFERENTES AO PROGRAMA DINHEIRO DIRETO NA ESCOLA – PDDE"/>
        <s v="Programa Dinheiro Direto na Escola - PDDE"/>
        <s v="TRANSFERÊNCIAS REFERENTES AO PROGRAMA NACIONAL DE ALIMENTAÇÃO ESCOLAR – PNAE"/>
        <s v="Programa Nacional de Alimentação Escolar - PNAE - Pré-Escola"/>
        <s v="Programa Nacional de Alimentação Escolar - PNAE - Atendimento Educacional Especializado - AEE"/>
        <s v="Programa Nacional de Alimentação Escolar - PNAE - Creche"/>
        <s v="Programa Nacional de Alimentação Escolar - PNAE - Ensino Fundamental"/>
        <s v="Programa Nacional de Alimentação Escolar - PNAE - Educação de Jovens e Adultos - EJA"/>
        <s v="Programa Nacional de Alimentação Escolar - PNAE - Ensino Médio"/>
        <s v="TRANSFERÊNCIAS REFERENTES AO PROGRAMA NACIONAL DE APOIO AO TRANSPORTE DO ESCOLAR – PNATE"/>
        <s v="Programa Nacional de Apoio ao Transporte Escolar - PNATE"/>
        <s v="TRANSFERÊNCIAS DE RECURSOS DO FUNDO NACIONAL DE ASSISTÊNCIA SOCIAL – FNAS "/>
        <s v="TRANSFERÊNCIAS DE RECURSOS DO FUNDO NACIONAL DE ASSISTÊNCIA SOCIAL – FNAS"/>
        <s v="Transferências de Recursos do Fundo Nacional de Assistência Social - FNAS"/>
        <s v="Programa Criança Feliz - Fundo Nacional de Assistência Social - FNAS"/>
        <s v="Ministério do Desenvolvimento Social - IGD - Programa Bolsa Família"/>
        <s v="Fundo Nacional de Assistência Social - Emenda Parlamentar Individual - Associação para Síndrome de Down de São José dos Campos"/>
        <s v="TRANSFERÊNCIAS DE CONVÊNIOS DA UNIÃO E DE SUAS ENTIDADES"/>
        <s v="OUTRAS TRANSFERÊNCIAS DE RECURSOS DA UNIÃO E DE SUAS ENTIDADES"/>
        <s v="Programa Minha Casa Minha Vida"/>
        <s v="Restauração Florestal de Áreas de Preservação Permanente - Siconv"/>
        <s v="FNDE - Plano de Ações Articuladas - Reforma EMEF Silvana Maria Ribeiro de Almeida"/>
        <s v="TRANSFERÊNCIA OBRIGATÓRIA DECORRENTE DA LEI COMPLEMENTAR Nº 176/2020"/>
        <s v="Compensação da União - LC 176/2020"/>
        <s v="Programa de Fortalecimento Emergencial do Atendimento do Cadastro Único no SUAS-Procad-Suas"/>
        <s v="TRANSFERÊNCIAS DOS ESTADOS E DO DISTRITO FEDERAL E DE SUAS ENTIDADES"/>
        <s v="PARTICIPAÇÃO NA RECEITA DOS ESTADOS E DISTRITO FEDERAL"/>
        <s v="COTA-PARTE DO ICMS"/>
        <s v="COTA-PARTE DO IPVA"/>
        <s v="COTA-PARTE DO IPI - MUNICÍPIOS"/>
        <s v="Cota-Parte do IPI - Exportação - Lei 61/1989"/>
        <s v="COTA-PARTE DA CONTRIBUIÇÃO DE INTERVENÇÃO NO DOMÍNIO ECONÔMICO"/>
        <s v="TRANSFERÊNCIAS DE CONVÊNIOS DOS ESTADOS E DF E DE SUAS ENTIDADES"/>
        <s v="TRANSFERÊNCIAS DE CONVÊNIOS DOS ESTADOS E DF PARA O SISTEMA ÚNICO DE SAÚDE – SUS"/>
        <s v="SUS - Municipalização"/>
        <s v="Emenda Parlamentar Individual Estadual - Fundo Municipal de Saúde"/>
        <s v="TRANSFERÊNCIAS DE CONVÊNIOS DOS ESTADOS DESTINADAS A PROGRAMAS DE EDUCAÇÃO"/>
        <s v="Convênio Secretaria de Educação do Estado - Programa de Transporte de Alunos da Rede Estadual de Ensino"/>
        <s v="Convênio Secretaria de Educação do Estado de São Paulo - Programa Parceria Educacional - Repasse Fundeb"/>
        <s v="Convênio Secretaria de Educação do Estado de São Paulo - Programa Parceria Educacional - Repasse Salário Educação"/>
        <s v="OUTRAS TRANSFERÊNCIAS DE CONVÊNIOS DOS ESTADOS E DF E DE SUAS ENTIDADES"/>
        <s v="Fundo Estadual de Recursos Hídricos - FEHIDRO"/>
        <s v="Convênio com a Fundação de Proteção e Defesa do Consumidor - PROCON"/>
        <s v="OUTRAS TRANSFERÊNCIAS DOS ESTADOS E DISTRITO FEDERAL"/>
        <s v="TRANSFERÊNCIAS DE ESTADOS DESTINADAS À ASSISTÊNCIA SOCIAL"/>
        <s v="Fundo Estadual de Assistência Social - FEAS - Proteção Social Básica, Especial de Média e Alta Complexidade"/>
        <s v="Fundo Estadual de Assistência Social - FEAS - Abrigo Institucional e Casa de Passagem"/>
        <s v="OUTRAS TRANSFERÊNCIAS DOS ESTADOS E DF"/>
        <s v="Emenda Parlamentar - Revitalização e manutenção da Praça do Jd. Diamante"/>
        <s v="TRANSFERÊNCIAS DE INSTITUIÇÕES PRIVADAS"/>
        <s v="TRANSFERÊNCIAS DE CONVÊNIOS DE INSTITUIÇÕES PRIVADAS PARA PROGRAMAS DE SAÚDE"/>
        <s v="Convênio de Instituições Privadas de Ensino na Área de Saúde - Contrapartida"/>
        <s v="TRANSFERÊNCIAS DE OUTRAS INSTITUIÇÕES PÚBLICAS"/>
        <s v="TRANSFERÊNCIAS DE RECURSOS DO FUNDO DE MANUTENÇÃO E DESENVOLVIMENTO DA EDUCAÇÃO BÁSICA E DE VALORIZAÇÃO DOS PROFISSIONAIS DA EDUCAÇÃO - FUNDEB"/>
        <s v="TRANSFERÊNCIAS DE RECURSOS DO FUNDO DE MANUTENÇÃO E DESENVOLVIMENTO DA EDUCAÇÃO BÁSICA E DE VALORIZAÇÃO DOS PROFISSIONAIS DA EDUCAÇÃO – FUNDEB"/>
        <s v="FUNDEB - FPM"/>
        <s v="FUNDEB - ITR"/>
        <s v="FUNDEB - ICMS"/>
        <s v="FUNDEB - IPI"/>
        <s v="FUNDEB - IPVA"/>
        <s v="FUNDEB - ITCMD"/>
        <s v="FUNDEB - FPE"/>
        <s v="FUNDEB - VAAR - Valor Aluno Ano por Resultado"/>
        <s v="OUTRAS RECEITAS CORRENTES"/>
        <s v="MULTAS ADMINISTRATIVAS, CONTRATUAIS E JUDICIAIS"/>
        <s v="MULTAS PREVISTAS EM LEGISLAÇÃO ESPECÍFICA"/>
        <s v="MULTAS PREVISTAS EM LEGISLAÇÃO ESPECÍFICA -  PRINCIPAL"/>
        <s v="Multas por Auto de Infração - Recursos Próprios"/>
        <s v="Multas por Auto de Infração - Fundo Municipal de Saúde - FMS"/>
        <s v="Multas por Auto de Infração - Vigilância Sanitária"/>
        <s v="Multas por Auto de Infração - Combate à Dengue"/>
        <s v="Multas por Auto de Infração - Procon"/>
        <s v="MULTAS PREVISTAS EM LEGISLAÇÃO ESPECÍFICA -  MULTAS E JUROS"/>
        <s v="Juros de Mora - Procon"/>
        <s v="MULTAS PREVISTAS EM LEGISLAÇÃO ESPECÍFICA -  DÍVIDA ATIVA"/>
        <s v="Dívida Ativa Não Tributária - Multas por Auto de Infração - Recursos Próprios"/>
        <s v="Dívida Ativa - Multa por Auto de Infração - Procon"/>
        <s v="MULTAS PREVISTAS EM LEGISLAÇÃO ESPECÍFICA - DÍVIDA ATIVA - MULTAS E JUROS"/>
        <s v="Dívida Ativa - Juros de Mora, Multa e Atualização Monetária - Procon"/>
        <s v="MULTAS E JUROS PREVISTOS EM CONTRATOS"/>
        <s v="Multas e Juros Previstos em Contratos -  Principal"/>
        <s v="MULTAS PREVISTAS NO CÓDIGO DE TRÂNSITO BRASILEIRO - CTB"/>
        <s v="Multas Previstas na Legislação de Trânsito - Normal"/>
        <s v="Multas Previstas na Legislação de Trânsito - Funset"/>
        <s v="Div. Ativa Não Trib. - Multas Prev. Legislação de Trânsito - Normal"/>
        <s v="Div. Ativa Não Trib. - Multas Prev. Legislação de Trânsito - Parcelamento"/>
        <s v="INDENIZAÇÕES, RESTITUIÇÕES E RESSARCIMENTOS"/>
        <s v="INDENIZAÇÕES"/>
        <s v="OUTRAS INDENIZAÇÕES"/>
        <s v="RESTITUIÇÕES"/>
        <s v="RESTITUIÇÃO DE DESPESAS DE EXERCÍCIOS ANTERIORES"/>
        <s v="RESTITUIÇÃO DE DESPESAS PRIMÁRIAS DE EXERCÍCIOS ANTERIORES"/>
        <s v="DEMAIS RECEITAS CORRENTES"/>
        <s v="OUTRAS RECEITAS"/>
        <s v="OUTRAS RECEITAS NÃO ARRECADADAS E NÃO PROJETADAS PELA RFB - PRIMÁRIAS  "/>
        <s v="Fundo Municipal de Assistência Social - FMAS"/>
        <s v="Fundo de Apoio ao Desporto Joseense - FADEJ"/>
        <s v="Fundo Municipal de Turismo - FUMTUR"/>
        <s v="Diversas Rendas - Recursos Próprios"/>
        <s v="Diversas Rendas - Fundo Municipal de Saúde - FMS"/>
        <s v="Zona Azul e outras"/>
        <s v="Fundo Social de Solidariedade"/>
        <s v="Fundo Municipal Antidrogas"/>
        <s v="Contrato Sabesp - 5% da Rec. Líquida"/>
        <s v="Fundo Municipal de Habitação - FMH"/>
        <s v="Fundo Municipal de Preservação do Patr. Histórico, Artístico, Paisagístico e Cultural - FUMPHAC"/>
        <s v="Fundo Municipal do Idoso"/>
        <s v="Fundo Municipal de Serviços Ecossistêmicos"/>
        <s v="Fundo Municipal de Conservação Ambiental - FUMCAM"/>
        <s v="Fundo Municipal de Transportes - Serviço de Transporte Privado"/>
        <s v="Fundo Municipal de Transportes -  Serviço de Compartilhamento de Bicicletas e Patinetes"/>
        <s v="Doação Causa Animal - IPTU"/>
        <s v="Fundo Municipal de Desenvolvimento Urbano - FMDU"/>
        <s v="Atividade Complementar Guarda Civil Municipal"/>
        <s v="Fundo Municipal dos Direitos da Criança e do Adolescente - FUMDICAD"/>
        <s v="Divida Ativa Não Tributária - Outras"/>
        <s v="Multas e Juros de Mora da Dívida Ativa de Outros Tributos"/>
        <s v="RECEITAS DE CAPITAL"/>
        <s v="TRANSFERÊNCIAS DE CAPITAL"/>
        <s v="TRANSFERÊNCIAS DE RECURSOS DO SISTEMA ÚNICO DE SAÚDE - SUS"/>
        <s v="OUTRAS TRANSFERÊNCIAS DE RECURSOS DO SISTEMA ÚNICO DE SAÚDE - SUS"/>
        <s v="SUS - Fundo Nacional de Saúde - Via Emenda Parlamentar Individual"/>
        <s v="Fundo Nacional de Assistência Social - Emenda Parlamentar Individual - Sociedade Holística Humanitária"/>
        <s v="TRANSFERÊNCIAS DE CONVÊNIOS DA UNIÃO E DE SUAS ENTIDADES "/>
        <s v="OUTRAS TRANSFERÊNCIAS DE CONVÊNIOS DA UNIÃO E DE SUAS ENTIDADES"/>
        <s v="Programa de Aceleração do Crescimento - PAC 2 - FNDE - Programa de Construção de Quadras Poliesportivas"/>
        <s v="Convênio Ministério do Esporte - Modernização do Campo do Esporte do Clube Interlagos - Via Emenda Parlamentar"/>
        <s v="Convênio Ministério do Esporte - Modernização e Revitalização de Quadras - Via Emenda Parlamentar"/>
        <s v="Convênio Ministério do Esporte - Modernização e Revitalização de Pistas de Skate no Município de São José dos Campos"/>
        <s v="Emenda Parlamentar Individual - Transferência Especial - Investimentos Diversos"/>
        <s v="TRANSFERÊNCIAS DE CONVÊNIOS DOS ESTADOS E DF E DE SUAS ENTIDADES "/>
        <s v="Convênio Departamento de Estradas e Rodagem - DER - Via Jaguari"/>
        <s v="Emenda Parlamentar Individual Estadual - FEAS - Grupo de Apoio ao Indivíduo com Autismo e Afins GAIA e Obra Social Padre Bonafé"/>
        <s v="OUTRAS TRANSFERÊNCIAS DE RECURSOS DOS ESTADOS"/>
        <s v="Emenda Parlamentar Individual Estadual - SASC - Assoc. Alpha"/>
        <s v="OUTRAS TRANSFERÊNCIAS DE INSTITUIÇÕES PRIVADAS"/>
        <s v="Convênio de Instituições Privadas de Ensino na Área de Saúde - Contrapartida - Investimentos"/>
        <s v="Polo Gerador de Trafégo - Fundo Municipal de Transporte"/>
        <s v="COAPES - Contrato Organizativo de Ação Pública Ensino - Saúde"/>
        <s v="RECEITAS CORRENTES - INTRA OFSS"/>
        <s v="OUTRAS RECEITAS CORRENTES - INTRA OFSS"/>
        <s v="DEMAIS RECEITAS CORRENTES - INTRA OFSS"/>
        <s v="OUTRAS RECEITAS NÃO ARRECADADAS E NÃO PROJETADAS PELA RFB – PRIMÁRIAS – INTRA OFSS"/>
        <s v="Fundo Municipal de Conservação Ambiental - FUMCAM - Intraorçamentária"/>
        <s v="Dedução da Receita Corrente"/>
        <s v="Dedução"/>
        <s v="Dedução da Receita"/>
        <s v="Dedução de Receita para Formação do Fundeb - União"/>
        <s v="Dedução de Receita para Formação do Fundeb - FPM"/>
        <s v="Dedução de Receita para Formação Do Fundeb - ITR"/>
        <s v="Dedução para Formação do Fundeb - Estadual"/>
        <s v="Dedução de Receita para Formação do Fundeb - ICMS"/>
        <s v="Dedução de Receita para Formação do Fundeb - IPVA"/>
        <s v="Dedução de Receita para Formação do Fundeb - IPI"/>
        <m/>
      </sharedItems>
    </cacheField>
    <cacheField name="Receita Mês (R$)" numFmtId="0">
      <sharedItems containsString="0" containsBlank="1" containsNumber="1" minValue="-24575250.5" maxValue="297149744.13" count="165">
        <n v="297149744.13"/>
        <n v="92117774.760000005"/>
        <n v="89737005.200000003"/>
        <n v="26242490.23"/>
        <n v="19065435.66"/>
        <n v="10943860.949999999"/>
        <n v="4098050.24"/>
        <n v="139745.70000000001"/>
        <n v="2988908.37"/>
        <n v="894870.4"/>
        <n v="7177054.5700000003"/>
        <n v="7163426.3600000003"/>
        <n v="13628.21"/>
        <n v="14702109.85"/>
        <n v="13652225.460000001"/>
        <n v="7999771.5300000003"/>
        <n v="5652453.9299999997"/>
        <n v="1049884.3899999999"/>
        <n v="48792405.119999997"/>
        <n v="36594229.710000001"/>
        <n v="980977.23"/>
        <n v="9272046.1300000008"/>
        <n v="279904.46999999997"/>
        <n v="9361.23"/>
        <n v="1184589.8799999999"/>
        <n v="471296.47"/>
        <n v="2380769.56"/>
        <n v="866196.38"/>
        <n v="817790.63"/>
        <n v="35023.35"/>
        <n v="596556.68000000005"/>
        <n v="3070.48"/>
        <n v="114791.95"/>
        <n v="26085.43"/>
        <n v="18163.03"/>
        <n v="2.1800000000000002"/>
        <n v="0"/>
        <n v="24097.53"/>
        <n v="48405.75"/>
        <n v="1514573.18"/>
        <n v="1512165.33"/>
        <n v="1685.7"/>
        <n v="36.950000000000003"/>
        <n v="685.2"/>
        <n v="2331242.9500000002"/>
        <n v="225494.84"/>
        <n v="2105748.11"/>
        <n v="340385.3"/>
        <n v="340319.06"/>
        <n v="216307.7"/>
        <n v="31121.15"/>
        <n v="185186.55"/>
        <n v="124011.36"/>
        <n v="3406.83"/>
        <n v="120604.53"/>
        <n v="66.239999999999995"/>
        <n v="190973839.03999999"/>
        <n v="32576280.190000001"/>
        <n v="8221710.6500000004"/>
        <n v="8214419.96"/>
        <n v="7290.69"/>
        <n v="1081031.83"/>
        <n v="14308.74"/>
        <n v="1066723.0900000001"/>
        <n v="850401.91"/>
        <n v="41349.03"/>
        <n v="174972.15"/>
        <n v="16537352.800000001"/>
        <n v="2927771.81"/>
        <n v="2378651.81"/>
        <n v="549120"/>
        <n v="10367591.74"/>
        <n v="919524.55"/>
        <n v="388326.63"/>
        <n v="50717.919999999998"/>
        <n v="480480"/>
        <n v="351947.7"/>
        <n v="1970517"/>
        <n v="6084392.71"/>
        <n v="4842261.21"/>
        <n v="1133268.08"/>
        <n v="234738"/>
        <n v="25840"/>
        <n v="405355.6"/>
        <n v="451393.4"/>
        <n v="10423.68"/>
        <n v="5517.4"/>
        <n v="108863.42"/>
        <n v="334119.28000000003"/>
        <n v="213036.2"/>
        <n v="121083.08"/>
        <n v="317672.92"/>
        <n v="121848041.25"/>
        <n v="114654541.02"/>
        <n v="106394585.47"/>
        <n v="7731216.5099999998"/>
        <n v="528739.04"/>
        <n v="7051803.8300000001"/>
        <n v="683077.05"/>
        <n v="33077.050000000003"/>
        <n v="650000"/>
        <n v="6368726.7800000003"/>
        <n v="2824925.72"/>
        <n v="3543801.06"/>
        <n v="141696.4"/>
        <n v="36549517.600000001"/>
        <n v="2842402.92"/>
        <n v="10304.790000000001"/>
        <n v="29931470.600000001"/>
        <n v="146443.88"/>
        <n v="1894422.46"/>
        <n v="799092.44"/>
        <n v="200071.94"/>
        <n v="725308.57"/>
        <n v="11386502.08"/>
        <n v="3967140.2"/>
        <n v="136727.12"/>
        <n v="132213.67000000001"/>
        <n v="47625.58"/>
        <n v="20574.509999999998"/>
        <n v="17247.97"/>
        <n v="46765.61"/>
        <n v="2405.64"/>
        <n v="12.25"/>
        <n v="2393.39"/>
        <n v="2107.81"/>
        <n v="40999.56"/>
        <n v="3789413.52"/>
        <n v="114312.37"/>
        <n v="22665.63"/>
        <n v="91646.74"/>
        <n v="7305049.5099999998"/>
        <n v="707271.36"/>
        <n v="74530.73"/>
        <n v="223832.39"/>
        <n v="1534144.33"/>
        <n v="34905.53"/>
        <n v="758369.01"/>
        <n v="228619.85"/>
        <n v="104637.82"/>
        <n v="1798.08"/>
        <n v="1292492.42"/>
        <n v="12460"/>
        <n v="1200784.95"/>
        <n v="540753.02"/>
        <n v="590450.02"/>
        <n v="7008990.9900000002"/>
        <n v="5518592.5199999996"/>
        <n v="165811.51999999999"/>
        <n v="5352781"/>
        <n v="150131.31"/>
        <n v="1340267.1599999999"/>
        <n v="4439.97"/>
        <n v="667734.98"/>
        <n v="668092.21"/>
        <n v="2055"/>
        <n v="-24575250.5"/>
        <n v="-1644342.07"/>
        <n v="-1642883.95"/>
        <n v="-1458.12"/>
        <n v="-22930908.43"/>
        <n v="-21278917.079999998"/>
        <n v="-1546243.54"/>
        <n v="-105747.81"/>
        <m/>
      </sharedItems>
    </cacheField>
    <cacheField name="Receita Ano (R$)" numFmtId="0">
      <sharedItems containsString="0" containsBlank="1" containsNumber="1" minValue="-214861063.02000001" maxValue="2628043889.5"/>
    </cacheField>
    <cacheField name="Receita Orçada (R$)" numFmtId="0">
      <sharedItems containsString="0" containsBlank="1" containsNumber="1" containsInteger="1" minValue="-334627000" maxValue="38267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9">
  <r>
    <x v="0"/>
    <n v="8"/>
    <x v="0"/>
    <x v="0"/>
    <m/>
    <x v="0"/>
    <x v="0"/>
    <n v="2628043889.5"/>
    <n v="3826715000"/>
  </r>
  <r>
    <x v="0"/>
    <n v="8"/>
    <x v="1"/>
    <x v="0"/>
    <m/>
    <x v="1"/>
    <x v="1"/>
    <n v="849204675.22000003"/>
    <n v="1166694000"/>
  </r>
  <r>
    <x v="0"/>
    <n v="8"/>
    <x v="2"/>
    <x v="0"/>
    <m/>
    <x v="2"/>
    <x v="2"/>
    <n v="816116208.25999999"/>
    <n v="1126521000"/>
  </r>
  <r>
    <x v="0"/>
    <n v="8"/>
    <x v="3"/>
    <x v="0"/>
    <m/>
    <x v="3"/>
    <x v="3"/>
    <n v="350695005.37"/>
    <n v="479469000"/>
  </r>
  <r>
    <x v="0"/>
    <n v="8"/>
    <x v="4"/>
    <x v="0"/>
    <m/>
    <x v="4"/>
    <x v="4"/>
    <n v="296411053.32999998"/>
    <n v="387388000"/>
  </r>
  <r>
    <x v="0"/>
    <n v="8"/>
    <x v="5"/>
    <x v="1"/>
    <n v="19"/>
    <x v="5"/>
    <x v="5"/>
    <n v="193338512.18000001"/>
    <n v="238207000"/>
  </r>
  <r>
    <x v="0"/>
    <n v="8"/>
    <x v="6"/>
    <x v="1"/>
    <n v="27"/>
    <x v="6"/>
    <x v="6"/>
    <n v="66841003.670000002"/>
    <n v="86656000"/>
  </r>
  <r>
    <x v="0"/>
    <n v="8"/>
    <x v="7"/>
    <x v="1"/>
    <n v="1620"/>
    <x v="7"/>
    <x v="7"/>
    <n v="1658642.32"/>
    <n v="1502000"/>
  </r>
  <r>
    <x v="0"/>
    <n v="8"/>
    <x v="8"/>
    <x v="1"/>
    <n v="2410"/>
    <x v="8"/>
    <x v="8"/>
    <n v="27175906.399999999"/>
    <n v="47957000"/>
  </r>
  <r>
    <x v="0"/>
    <n v="8"/>
    <x v="9"/>
    <x v="1"/>
    <n v="1670"/>
    <x v="9"/>
    <x v="9"/>
    <n v="7396988.7599999998"/>
    <n v="13066000"/>
  </r>
  <r>
    <x v="0"/>
    <n v="8"/>
    <x v="10"/>
    <x v="0"/>
    <m/>
    <x v="10"/>
    <x v="10"/>
    <n v="54283952.039999999"/>
    <n v="92081000"/>
  </r>
  <r>
    <x v="0"/>
    <n v="8"/>
    <x v="11"/>
    <x v="1"/>
    <n v="248"/>
    <x v="11"/>
    <x v="11"/>
    <n v="54225135.409999996"/>
    <n v="91900000"/>
  </r>
  <r>
    <x v="0"/>
    <n v="8"/>
    <x v="12"/>
    <x v="1"/>
    <n v="1650"/>
    <x v="12"/>
    <x v="12"/>
    <n v="58816.63"/>
    <n v="181000"/>
  </r>
  <r>
    <x v="0"/>
    <n v="8"/>
    <x v="13"/>
    <x v="0"/>
    <m/>
    <x v="13"/>
    <x v="13"/>
    <n v="111220744.45999999"/>
    <n v="170382000"/>
  </r>
  <r>
    <x v="0"/>
    <n v="8"/>
    <x v="14"/>
    <x v="0"/>
    <m/>
    <x v="14"/>
    <x v="13"/>
    <n v="111220744.45999999"/>
    <n v="170382000"/>
  </r>
  <r>
    <x v="0"/>
    <n v="8"/>
    <x v="15"/>
    <x v="0"/>
    <m/>
    <x v="15"/>
    <x v="14"/>
    <n v="110170860.06999999"/>
    <n v="170382000"/>
  </r>
  <r>
    <x v="0"/>
    <n v="8"/>
    <x v="16"/>
    <x v="1"/>
    <n v="1141"/>
    <x v="16"/>
    <x v="15"/>
    <n v="65795475.82"/>
    <n v="170382000"/>
  </r>
  <r>
    <x v="0"/>
    <n v="8"/>
    <x v="17"/>
    <x v="1"/>
    <n v="2016"/>
    <x v="17"/>
    <x v="16"/>
    <n v="44375384.25"/>
    <n v="0"/>
  </r>
  <r>
    <x v="0"/>
    <n v="8"/>
    <x v="18"/>
    <x v="0"/>
    <m/>
    <x v="18"/>
    <x v="17"/>
    <n v="1049884.3899999999"/>
    <n v="0"/>
  </r>
  <r>
    <x v="0"/>
    <n v="8"/>
    <x v="19"/>
    <x v="1"/>
    <n v="2018"/>
    <x v="19"/>
    <x v="17"/>
    <n v="1049884.3899999999"/>
    <n v="0"/>
  </r>
  <r>
    <x v="0"/>
    <n v="8"/>
    <x v="20"/>
    <x v="0"/>
    <m/>
    <x v="20"/>
    <x v="18"/>
    <n v="354200458.43000001"/>
    <n v="476670000"/>
  </r>
  <r>
    <x v="0"/>
    <n v="8"/>
    <x v="21"/>
    <x v="0"/>
    <m/>
    <x v="21"/>
    <x v="18"/>
    <n v="354200458.43000001"/>
    <n v="476670000"/>
  </r>
  <r>
    <x v="0"/>
    <n v="8"/>
    <x v="22"/>
    <x v="0"/>
    <m/>
    <x v="22"/>
    <x v="18"/>
    <n v="354200458.43000001"/>
    <n v="476670000"/>
  </r>
  <r>
    <x v="0"/>
    <n v="8"/>
    <x v="23"/>
    <x v="1"/>
    <n v="35"/>
    <x v="23"/>
    <x v="19"/>
    <n v="266578209.56"/>
    <n v="346791000"/>
  </r>
  <r>
    <x v="0"/>
    <n v="8"/>
    <x v="24"/>
    <x v="1"/>
    <n v="221"/>
    <x v="24"/>
    <x v="20"/>
    <n v="5622500.25"/>
    <n v="10748000"/>
  </r>
  <r>
    <x v="0"/>
    <n v="8"/>
    <x v="25"/>
    <x v="1"/>
    <n v="222"/>
    <x v="25"/>
    <x v="21"/>
    <n v="68212000.319999993"/>
    <n v="95459000"/>
  </r>
  <r>
    <x v="0"/>
    <n v="8"/>
    <x v="26"/>
    <x v="1"/>
    <n v="1011"/>
    <x v="26"/>
    <x v="22"/>
    <n v="1707873.24"/>
    <n v="2315000"/>
  </r>
  <r>
    <x v="0"/>
    <n v="8"/>
    <x v="27"/>
    <x v="1"/>
    <n v="1630"/>
    <x v="27"/>
    <x v="23"/>
    <n v="28140.34"/>
    <n v="20000"/>
  </r>
  <r>
    <x v="0"/>
    <n v="8"/>
    <x v="28"/>
    <x v="1"/>
    <n v="2445"/>
    <x v="28"/>
    <x v="24"/>
    <n v="9092959.6500000004"/>
    <n v="16503000"/>
  </r>
  <r>
    <x v="0"/>
    <n v="8"/>
    <x v="29"/>
    <x v="1"/>
    <n v="1680"/>
    <x v="29"/>
    <x v="25"/>
    <n v="2958775.07"/>
    <n v="4834000"/>
  </r>
  <r>
    <x v="0"/>
    <n v="8"/>
    <x v="30"/>
    <x v="0"/>
    <m/>
    <x v="30"/>
    <x v="26"/>
    <n v="33088466.960000001"/>
    <n v="40169000"/>
  </r>
  <r>
    <x v="0"/>
    <n v="8"/>
    <x v="31"/>
    <x v="0"/>
    <m/>
    <x v="31"/>
    <x v="27"/>
    <n v="9080285.9499999993"/>
    <n v="10023000"/>
  </r>
  <r>
    <x v="0"/>
    <n v="8"/>
    <x v="32"/>
    <x v="0"/>
    <m/>
    <x v="32"/>
    <x v="28"/>
    <n v="8671541.8699999992"/>
    <n v="9411000"/>
  </r>
  <r>
    <x v="0"/>
    <n v="8"/>
    <x v="33"/>
    <x v="1"/>
    <n v="43"/>
    <x v="33"/>
    <x v="29"/>
    <n v="238006.17"/>
    <n v="299000"/>
  </r>
  <r>
    <x v="0"/>
    <n v="8"/>
    <x v="34"/>
    <x v="1"/>
    <n v="51"/>
    <x v="34"/>
    <x v="30"/>
    <n v="6997894.1299999999"/>
    <n v="6969000"/>
  </r>
  <r>
    <x v="0"/>
    <n v="8"/>
    <x v="35"/>
    <x v="1"/>
    <n v="78"/>
    <x v="35"/>
    <x v="31"/>
    <n v="30369.02"/>
    <n v="30000"/>
  </r>
  <r>
    <x v="0"/>
    <n v="8"/>
    <x v="36"/>
    <x v="1"/>
    <n v="86"/>
    <x v="36"/>
    <x v="32"/>
    <n v="958047.35"/>
    <n v="1412000"/>
  </r>
  <r>
    <x v="0"/>
    <n v="8"/>
    <x v="37"/>
    <x v="1"/>
    <n v="94"/>
    <x v="37"/>
    <x v="33"/>
    <n v="291112.11"/>
    <n v="394000"/>
  </r>
  <r>
    <x v="0"/>
    <n v="8"/>
    <x v="38"/>
    <x v="1"/>
    <n v="108"/>
    <x v="38"/>
    <x v="34"/>
    <n v="83913.01"/>
    <n v="82000"/>
  </r>
  <r>
    <x v="0"/>
    <n v="8"/>
    <x v="39"/>
    <x v="1"/>
    <n v="120"/>
    <x v="39"/>
    <x v="35"/>
    <n v="15.26"/>
    <n v="116000"/>
  </r>
  <r>
    <x v="0"/>
    <n v="8"/>
    <x v="40"/>
    <x v="1"/>
    <n v="350"/>
    <x v="40"/>
    <x v="36"/>
    <n v="4000"/>
    <n v="20000"/>
  </r>
  <r>
    <x v="0"/>
    <n v="8"/>
    <x v="41"/>
    <x v="1"/>
    <n v="1660"/>
    <x v="41"/>
    <x v="37"/>
    <n v="68184.820000000007"/>
    <n v="89000"/>
  </r>
  <r>
    <x v="0"/>
    <n v="8"/>
    <x v="42"/>
    <x v="0"/>
    <m/>
    <x v="42"/>
    <x v="38"/>
    <n v="408744.08"/>
    <n v="612000"/>
  </r>
  <r>
    <x v="0"/>
    <n v="8"/>
    <x v="43"/>
    <x v="2"/>
    <n v="330"/>
    <x v="42"/>
    <x v="38"/>
    <n v="408744.08"/>
    <n v="612000"/>
  </r>
  <r>
    <x v="0"/>
    <n v="8"/>
    <x v="44"/>
    <x v="0"/>
    <m/>
    <x v="43"/>
    <x v="39"/>
    <n v="24008181.010000002"/>
    <n v="30146000"/>
  </r>
  <r>
    <x v="0"/>
    <n v="8"/>
    <x v="45"/>
    <x v="0"/>
    <m/>
    <x v="43"/>
    <x v="39"/>
    <n v="24008181.010000002"/>
    <n v="30146000"/>
  </r>
  <r>
    <x v="0"/>
    <n v="8"/>
    <x v="46"/>
    <x v="1"/>
    <n v="140"/>
    <x v="44"/>
    <x v="40"/>
    <n v="24000121.280000001"/>
    <n v="30109000"/>
  </r>
  <r>
    <x v="0"/>
    <n v="8"/>
    <x v="47"/>
    <x v="1"/>
    <n v="116"/>
    <x v="45"/>
    <x v="41"/>
    <n v="2319.9"/>
    <n v="3000"/>
  </r>
  <r>
    <x v="0"/>
    <n v="8"/>
    <x v="48"/>
    <x v="1"/>
    <n v="175"/>
    <x v="46"/>
    <x v="42"/>
    <n v="943.43"/>
    <n v="23000"/>
  </r>
  <r>
    <x v="0"/>
    <n v="8"/>
    <x v="49"/>
    <x v="2"/>
    <n v="2607"/>
    <x v="47"/>
    <x v="43"/>
    <n v="4796.3999999999996"/>
    <n v="11000"/>
  </r>
  <r>
    <x v="0"/>
    <n v="8"/>
    <x v="50"/>
    <x v="0"/>
    <m/>
    <x v="48"/>
    <x v="36"/>
    <n v="0"/>
    <n v="4000"/>
  </r>
  <r>
    <x v="0"/>
    <n v="8"/>
    <x v="51"/>
    <x v="0"/>
    <m/>
    <x v="48"/>
    <x v="36"/>
    <n v="0"/>
    <n v="4000"/>
  </r>
  <r>
    <x v="0"/>
    <n v="8"/>
    <x v="52"/>
    <x v="0"/>
    <m/>
    <x v="49"/>
    <x v="36"/>
    <n v="0"/>
    <n v="4000"/>
  </r>
  <r>
    <x v="0"/>
    <n v="8"/>
    <x v="53"/>
    <x v="1"/>
    <n v="205"/>
    <x v="50"/>
    <x v="36"/>
    <n v="0"/>
    <n v="3000"/>
  </r>
  <r>
    <x v="0"/>
    <n v="8"/>
    <x v="54"/>
    <x v="1"/>
    <n v="1640"/>
    <x v="51"/>
    <x v="36"/>
    <n v="0"/>
    <n v="1000"/>
  </r>
  <r>
    <x v="0"/>
    <n v="8"/>
    <x v="55"/>
    <x v="0"/>
    <m/>
    <x v="52"/>
    <x v="44"/>
    <n v="20450049.27"/>
    <n v="30084000"/>
  </r>
  <r>
    <x v="0"/>
    <n v="8"/>
    <x v="56"/>
    <x v="0"/>
    <m/>
    <x v="53"/>
    <x v="44"/>
    <n v="20450049.27"/>
    <n v="30084000"/>
  </r>
  <r>
    <x v="0"/>
    <n v="8"/>
    <x v="57"/>
    <x v="0"/>
    <m/>
    <x v="53"/>
    <x v="44"/>
    <n v="20450049.27"/>
    <n v="30084000"/>
  </r>
  <r>
    <x v="0"/>
    <n v="8"/>
    <x v="58"/>
    <x v="0"/>
    <m/>
    <x v="53"/>
    <x v="44"/>
    <n v="20450049.27"/>
    <n v="30084000"/>
  </r>
  <r>
    <x v="0"/>
    <n v="8"/>
    <x v="59"/>
    <x v="3"/>
    <n v="2997"/>
    <x v="54"/>
    <x v="45"/>
    <n v="2671002.2400000002"/>
    <n v="3317000"/>
  </r>
  <r>
    <x v="0"/>
    <n v="8"/>
    <x v="60"/>
    <x v="3"/>
    <n v="2964"/>
    <x v="55"/>
    <x v="46"/>
    <n v="17779047.030000001"/>
    <n v="26767000"/>
  </r>
  <r>
    <x v="0"/>
    <n v="8"/>
    <x v="61"/>
    <x v="0"/>
    <m/>
    <x v="56"/>
    <x v="47"/>
    <n v="43983639.100000001"/>
    <n v="49064000"/>
  </r>
  <r>
    <x v="0"/>
    <n v="8"/>
    <x v="62"/>
    <x v="0"/>
    <m/>
    <x v="57"/>
    <x v="48"/>
    <n v="2031550.7"/>
    <n v="3022000"/>
  </r>
  <r>
    <x v="0"/>
    <n v="8"/>
    <x v="63"/>
    <x v="0"/>
    <m/>
    <x v="57"/>
    <x v="48"/>
    <n v="2031550.7"/>
    <n v="3022000"/>
  </r>
  <r>
    <x v="0"/>
    <n v="8"/>
    <x v="64"/>
    <x v="0"/>
    <m/>
    <x v="58"/>
    <x v="49"/>
    <n v="1771881.22"/>
    <n v="2888000"/>
  </r>
  <r>
    <x v="0"/>
    <n v="8"/>
    <x v="65"/>
    <x v="0"/>
    <m/>
    <x v="59"/>
    <x v="50"/>
    <n v="274447.35999999999"/>
    <n v="358000"/>
  </r>
  <r>
    <x v="0"/>
    <n v="8"/>
    <x v="66"/>
    <x v="1"/>
    <n v="1040"/>
    <x v="60"/>
    <x v="50"/>
    <n v="274447.35999999999"/>
    <n v="358000"/>
  </r>
  <r>
    <x v="0"/>
    <n v="8"/>
    <x v="67"/>
    <x v="0"/>
    <m/>
    <x v="61"/>
    <x v="51"/>
    <n v="1497433.86"/>
    <n v="2530000"/>
  </r>
  <r>
    <x v="0"/>
    <n v="8"/>
    <x v="68"/>
    <x v="1"/>
    <n v="1023"/>
    <x v="62"/>
    <x v="51"/>
    <n v="1497433.86"/>
    <n v="2530000"/>
  </r>
  <r>
    <x v="0"/>
    <n v="8"/>
    <x v="69"/>
    <x v="0"/>
    <m/>
    <x v="63"/>
    <x v="52"/>
    <n v="259669.48"/>
    <n v="134000"/>
  </r>
  <r>
    <x v="0"/>
    <n v="8"/>
    <x v="70"/>
    <x v="1"/>
    <n v="1057"/>
    <x v="64"/>
    <x v="53"/>
    <n v="12156.22"/>
    <n v="0"/>
  </r>
  <r>
    <x v="0"/>
    <n v="8"/>
    <x v="71"/>
    <x v="1"/>
    <n v="2165"/>
    <x v="65"/>
    <x v="54"/>
    <n v="247513.26"/>
    <n v="134000"/>
  </r>
  <r>
    <x v="0"/>
    <n v="8"/>
    <x v="72"/>
    <x v="0"/>
    <m/>
    <x v="66"/>
    <x v="55"/>
    <n v="41952088.399999999"/>
    <n v="46042000"/>
  </r>
  <r>
    <x v="0"/>
    <n v="8"/>
    <x v="73"/>
    <x v="0"/>
    <m/>
    <x v="67"/>
    <x v="55"/>
    <n v="41917636.380000003"/>
    <n v="45943000"/>
  </r>
  <r>
    <x v="0"/>
    <n v="8"/>
    <x v="74"/>
    <x v="0"/>
    <m/>
    <x v="68"/>
    <x v="55"/>
    <n v="41917636.380000003"/>
    <n v="45943000"/>
  </r>
  <r>
    <x v="0"/>
    <n v="8"/>
    <x v="75"/>
    <x v="4"/>
    <n v="1912"/>
    <x v="69"/>
    <x v="36"/>
    <n v="2012274.85"/>
    <n v="7213000"/>
  </r>
  <r>
    <x v="0"/>
    <n v="8"/>
    <x v="76"/>
    <x v="1"/>
    <n v="1890"/>
    <x v="70"/>
    <x v="36"/>
    <n v="271717.46000000002"/>
    <n v="102000"/>
  </r>
  <r>
    <x v="0"/>
    <n v="8"/>
    <x v="77"/>
    <x v="5"/>
    <n v="1030"/>
    <x v="71"/>
    <x v="36"/>
    <n v="0"/>
    <n v="10000"/>
  </r>
  <r>
    <x v="0"/>
    <n v="8"/>
    <x v="78"/>
    <x v="5"/>
    <n v="1511"/>
    <x v="72"/>
    <x v="36"/>
    <n v="0"/>
    <n v="1000"/>
  </r>
  <r>
    <x v="0"/>
    <n v="8"/>
    <x v="79"/>
    <x v="4"/>
    <n v="1780"/>
    <x v="73"/>
    <x v="36"/>
    <n v="809136.39"/>
    <n v="336000"/>
  </r>
  <r>
    <x v="0"/>
    <n v="8"/>
    <x v="80"/>
    <x v="5"/>
    <n v="1074"/>
    <x v="74"/>
    <x v="36"/>
    <n v="22078.1"/>
    <n v="0"/>
  </r>
  <r>
    <x v="0"/>
    <n v="8"/>
    <x v="81"/>
    <x v="1"/>
    <n v="1546"/>
    <x v="75"/>
    <x v="36"/>
    <n v="176005.63"/>
    <n v="2049000"/>
  </r>
  <r>
    <x v="0"/>
    <n v="8"/>
    <x v="82"/>
    <x v="5"/>
    <n v="1750"/>
    <x v="76"/>
    <x v="36"/>
    <n v="2843238.91"/>
    <n v="4126000"/>
  </r>
  <r>
    <x v="0"/>
    <n v="8"/>
    <x v="83"/>
    <x v="5"/>
    <n v="1500"/>
    <x v="77"/>
    <x v="36"/>
    <n v="95983.28"/>
    <n v="767000"/>
  </r>
  <r>
    <x v="0"/>
    <n v="8"/>
    <x v="84"/>
    <x v="1"/>
    <n v="1123"/>
    <x v="78"/>
    <x v="36"/>
    <n v="9254.17"/>
    <n v="10000"/>
  </r>
  <r>
    <x v="0"/>
    <n v="8"/>
    <x v="85"/>
    <x v="5"/>
    <n v="1730"/>
    <x v="79"/>
    <x v="36"/>
    <n v="93229.43"/>
    <n v="61000"/>
  </r>
  <r>
    <x v="0"/>
    <n v="8"/>
    <x v="86"/>
    <x v="3"/>
    <n v="1913"/>
    <x v="80"/>
    <x v="36"/>
    <n v="721448.35"/>
    <n v="710000"/>
  </r>
  <r>
    <x v="0"/>
    <n v="8"/>
    <x v="87"/>
    <x v="3"/>
    <n v="1210"/>
    <x v="81"/>
    <x v="36"/>
    <n v="953728.18"/>
    <n v="300000"/>
  </r>
  <r>
    <x v="0"/>
    <n v="8"/>
    <x v="88"/>
    <x v="3"/>
    <n v="1820"/>
    <x v="82"/>
    <x v="36"/>
    <n v="125761.56"/>
    <n v="92000"/>
  </r>
  <r>
    <x v="0"/>
    <n v="8"/>
    <x v="89"/>
    <x v="3"/>
    <n v="1134"/>
    <x v="83"/>
    <x v="36"/>
    <n v="235749.86"/>
    <n v="255000"/>
  </r>
  <r>
    <x v="0"/>
    <n v="8"/>
    <x v="90"/>
    <x v="5"/>
    <n v="1700"/>
    <x v="84"/>
    <x v="36"/>
    <n v="1235.32"/>
    <n v="0"/>
  </r>
  <r>
    <x v="0"/>
    <n v="8"/>
    <x v="91"/>
    <x v="5"/>
    <n v="1917"/>
    <x v="85"/>
    <x v="36"/>
    <n v="44419.47"/>
    <n v="0"/>
  </r>
  <r>
    <x v="0"/>
    <n v="8"/>
    <x v="92"/>
    <x v="4"/>
    <n v="1450"/>
    <x v="86"/>
    <x v="36"/>
    <n v="26192.48"/>
    <n v="0"/>
  </r>
  <r>
    <x v="0"/>
    <n v="8"/>
    <x v="93"/>
    <x v="5"/>
    <n v="1720"/>
    <x v="87"/>
    <x v="36"/>
    <n v="0.01"/>
    <n v="0"/>
  </r>
  <r>
    <x v="0"/>
    <n v="8"/>
    <x v="94"/>
    <x v="5"/>
    <n v="1916"/>
    <x v="88"/>
    <x v="36"/>
    <n v="1409.67"/>
    <n v="0"/>
  </r>
  <r>
    <x v="0"/>
    <n v="8"/>
    <x v="95"/>
    <x v="2"/>
    <n v="1116"/>
    <x v="89"/>
    <x v="36"/>
    <n v="48.13"/>
    <n v="0"/>
  </r>
  <r>
    <x v="0"/>
    <n v="8"/>
    <x v="96"/>
    <x v="4"/>
    <n v="1563"/>
    <x v="90"/>
    <x v="36"/>
    <n v="276.72000000000003"/>
    <n v="0"/>
  </r>
  <r>
    <x v="0"/>
    <n v="8"/>
    <x v="97"/>
    <x v="4"/>
    <n v="1731"/>
    <x v="91"/>
    <x v="36"/>
    <n v="39707.11"/>
    <n v="37000"/>
  </r>
  <r>
    <x v="0"/>
    <n v="8"/>
    <x v="98"/>
    <x v="1"/>
    <n v="1121"/>
    <x v="92"/>
    <x v="36"/>
    <n v="222357.69"/>
    <n v="801000"/>
  </r>
  <r>
    <x v="0"/>
    <n v="8"/>
    <x v="99"/>
    <x v="2"/>
    <n v="1119"/>
    <x v="93"/>
    <x v="36"/>
    <n v="12318.32"/>
    <n v="0"/>
  </r>
  <r>
    <x v="0"/>
    <n v="8"/>
    <x v="100"/>
    <x v="3"/>
    <n v="1127"/>
    <x v="94"/>
    <x v="36"/>
    <n v="1216.08"/>
    <n v="1000"/>
  </r>
  <r>
    <x v="0"/>
    <n v="8"/>
    <x v="101"/>
    <x v="4"/>
    <n v="1128"/>
    <x v="95"/>
    <x v="36"/>
    <n v="224022.16"/>
    <n v="0"/>
  </r>
  <r>
    <x v="0"/>
    <n v="8"/>
    <x v="102"/>
    <x v="3"/>
    <n v="1129"/>
    <x v="96"/>
    <x v="36"/>
    <n v="319570.86"/>
    <n v="285000"/>
  </r>
  <r>
    <x v="0"/>
    <n v="8"/>
    <x v="103"/>
    <x v="3"/>
    <n v="1130"/>
    <x v="97"/>
    <x v="36"/>
    <n v="68980.12"/>
    <n v="136000"/>
  </r>
  <r>
    <x v="0"/>
    <n v="8"/>
    <x v="104"/>
    <x v="3"/>
    <n v="1143"/>
    <x v="98"/>
    <x v="36"/>
    <n v="19550.16"/>
    <n v="1000"/>
  </r>
  <r>
    <x v="0"/>
    <n v="8"/>
    <x v="105"/>
    <x v="5"/>
    <n v="1144"/>
    <x v="99"/>
    <x v="36"/>
    <n v="1085.82"/>
    <n v="0"/>
  </r>
  <r>
    <x v="0"/>
    <n v="8"/>
    <x v="106"/>
    <x v="5"/>
    <n v="1145"/>
    <x v="100"/>
    <x v="36"/>
    <n v="108352.72"/>
    <n v="0"/>
  </r>
  <r>
    <x v="0"/>
    <n v="8"/>
    <x v="107"/>
    <x v="5"/>
    <n v="1146"/>
    <x v="101"/>
    <x v="36"/>
    <n v="8563.0400000000009"/>
    <n v="13000"/>
  </r>
  <r>
    <x v="0"/>
    <n v="8"/>
    <x v="108"/>
    <x v="5"/>
    <n v="1147"/>
    <x v="102"/>
    <x v="36"/>
    <n v="1206.18"/>
    <n v="0"/>
  </r>
  <r>
    <x v="0"/>
    <n v="8"/>
    <x v="109"/>
    <x v="4"/>
    <n v="1148"/>
    <x v="103"/>
    <x v="36"/>
    <n v="1740.99"/>
    <n v="0"/>
  </r>
  <r>
    <x v="0"/>
    <n v="8"/>
    <x v="110"/>
    <x v="3"/>
    <n v="1149"/>
    <x v="104"/>
    <x v="36"/>
    <n v="408.29"/>
    <n v="1000"/>
  </r>
  <r>
    <x v="0"/>
    <n v="8"/>
    <x v="111"/>
    <x v="5"/>
    <n v="1152"/>
    <x v="105"/>
    <x v="36"/>
    <n v="132881.60000000001"/>
    <n v="0"/>
  </r>
  <r>
    <x v="0"/>
    <n v="8"/>
    <x v="112"/>
    <x v="3"/>
    <n v="1999"/>
    <x v="106"/>
    <x v="36"/>
    <n v="11241.77"/>
    <n v="14000"/>
  </r>
  <r>
    <x v="0"/>
    <n v="8"/>
    <x v="113"/>
    <x v="3"/>
    <n v="1158"/>
    <x v="107"/>
    <x v="36"/>
    <n v="156380.69"/>
    <n v="213000"/>
  </r>
  <r>
    <x v="0"/>
    <n v="8"/>
    <x v="114"/>
    <x v="1"/>
    <n v="1159"/>
    <x v="108"/>
    <x v="36"/>
    <n v="391.34"/>
    <n v="0"/>
  </r>
  <r>
    <x v="0"/>
    <n v="8"/>
    <x v="115"/>
    <x v="6"/>
    <n v="1160"/>
    <x v="109"/>
    <x v="36"/>
    <n v="1070.1199999999999"/>
    <n v="0"/>
  </r>
  <r>
    <x v="0"/>
    <n v="8"/>
    <x v="116"/>
    <x v="1"/>
    <n v="1066"/>
    <x v="110"/>
    <x v="36"/>
    <n v="23692603.059999999"/>
    <n v="22852000"/>
  </r>
  <r>
    <x v="0"/>
    <n v="8"/>
    <x v="117"/>
    <x v="1"/>
    <n v="1112"/>
    <x v="111"/>
    <x v="36"/>
    <n v="106147.45"/>
    <n v="103000"/>
  </r>
  <r>
    <x v="0"/>
    <n v="8"/>
    <x v="118"/>
    <x v="1"/>
    <n v="1117"/>
    <x v="112"/>
    <x v="36"/>
    <n v="38192.129999999997"/>
    <n v="32000"/>
  </r>
  <r>
    <x v="0"/>
    <n v="8"/>
    <x v="119"/>
    <x v="1"/>
    <n v="1118"/>
    <x v="113"/>
    <x v="36"/>
    <n v="231010.59"/>
    <n v="158000"/>
  </r>
  <r>
    <x v="0"/>
    <n v="8"/>
    <x v="120"/>
    <x v="5"/>
    <n v="1125"/>
    <x v="114"/>
    <x v="36"/>
    <n v="2382553.34"/>
    <n v="3552000"/>
  </r>
  <r>
    <x v="0"/>
    <n v="8"/>
    <x v="121"/>
    <x v="3"/>
    <n v="1162"/>
    <x v="115"/>
    <x v="36"/>
    <n v="453.82"/>
    <n v="2000"/>
  </r>
  <r>
    <x v="0"/>
    <n v="8"/>
    <x v="122"/>
    <x v="5"/>
    <n v="1168"/>
    <x v="116"/>
    <x v="36"/>
    <n v="33292.06"/>
    <n v="0"/>
  </r>
  <r>
    <x v="0"/>
    <n v="8"/>
    <x v="123"/>
    <x v="3"/>
    <n v="1169"/>
    <x v="117"/>
    <x v="36"/>
    <n v="198126.76"/>
    <n v="122000"/>
  </r>
  <r>
    <x v="0"/>
    <n v="8"/>
    <x v="124"/>
    <x v="2"/>
    <n v="1181"/>
    <x v="118"/>
    <x v="36"/>
    <n v="2453.36"/>
    <n v="22000"/>
  </r>
  <r>
    <x v="0"/>
    <n v="8"/>
    <x v="125"/>
    <x v="3"/>
    <n v="1182"/>
    <x v="119"/>
    <x v="36"/>
    <n v="788698.7"/>
    <n v="393000"/>
  </r>
  <r>
    <x v="0"/>
    <n v="8"/>
    <x v="126"/>
    <x v="2"/>
    <n v="1183"/>
    <x v="120"/>
    <x v="36"/>
    <n v="8789.07"/>
    <n v="0"/>
  </r>
  <r>
    <x v="0"/>
    <n v="8"/>
    <x v="127"/>
    <x v="1"/>
    <n v="1185"/>
    <x v="121"/>
    <x v="36"/>
    <n v="19352.41"/>
    <n v="14000"/>
  </r>
  <r>
    <x v="0"/>
    <n v="8"/>
    <x v="128"/>
    <x v="4"/>
    <n v="1189"/>
    <x v="122"/>
    <x v="36"/>
    <n v="51.81"/>
    <n v="0"/>
  </r>
  <r>
    <x v="0"/>
    <n v="8"/>
    <x v="129"/>
    <x v="2"/>
    <n v="1191"/>
    <x v="123"/>
    <x v="36"/>
    <n v="789.64"/>
    <n v="0"/>
  </r>
  <r>
    <x v="0"/>
    <n v="8"/>
    <x v="130"/>
    <x v="2"/>
    <n v="1192"/>
    <x v="124"/>
    <x v="36"/>
    <n v="1728.32"/>
    <n v="2000"/>
  </r>
  <r>
    <x v="0"/>
    <n v="8"/>
    <x v="131"/>
    <x v="1"/>
    <n v="1194"/>
    <x v="125"/>
    <x v="36"/>
    <n v="96297.95"/>
    <n v="194000"/>
  </r>
  <r>
    <x v="0"/>
    <n v="8"/>
    <x v="132"/>
    <x v="5"/>
    <n v="1196"/>
    <x v="126"/>
    <x v="36"/>
    <n v="3774.07"/>
    <n v="0"/>
  </r>
  <r>
    <x v="0"/>
    <n v="8"/>
    <x v="133"/>
    <x v="5"/>
    <n v="1197"/>
    <x v="127"/>
    <x v="36"/>
    <n v="4620.7299999999996"/>
    <n v="0"/>
  </r>
  <r>
    <x v="0"/>
    <n v="8"/>
    <x v="134"/>
    <x v="2"/>
    <n v="1199"/>
    <x v="128"/>
    <x v="36"/>
    <n v="17.71"/>
    <n v="0"/>
  </r>
  <r>
    <x v="0"/>
    <n v="8"/>
    <x v="135"/>
    <x v="2"/>
    <n v="1215"/>
    <x v="129"/>
    <x v="36"/>
    <n v="353387.31"/>
    <n v="0"/>
  </r>
  <r>
    <x v="0"/>
    <n v="8"/>
    <x v="136"/>
    <x v="2"/>
    <n v="1216"/>
    <x v="130"/>
    <x v="36"/>
    <n v="43145.19"/>
    <n v="0"/>
  </r>
  <r>
    <x v="0"/>
    <n v="8"/>
    <x v="137"/>
    <x v="2"/>
    <n v="1217"/>
    <x v="131"/>
    <x v="36"/>
    <n v="395651.21"/>
    <n v="0"/>
  </r>
  <r>
    <x v="0"/>
    <n v="8"/>
    <x v="138"/>
    <x v="2"/>
    <n v="1218"/>
    <x v="132"/>
    <x v="36"/>
    <n v="4026.42"/>
    <n v="0"/>
  </r>
  <r>
    <x v="0"/>
    <n v="8"/>
    <x v="139"/>
    <x v="5"/>
    <n v="1222"/>
    <x v="133"/>
    <x v="36"/>
    <n v="8.82"/>
    <n v="0"/>
  </r>
  <r>
    <x v="0"/>
    <n v="8"/>
    <x v="140"/>
    <x v="5"/>
    <n v="1223"/>
    <x v="134"/>
    <x v="36"/>
    <n v="52.29"/>
    <n v="0"/>
  </r>
  <r>
    <x v="0"/>
    <n v="8"/>
    <x v="141"/>
    <x v="5"/>
    <n v="1224"/>
    <x v="135"/>
    <x v="36"/>
    <n v="65.58"/>
    <n v="0"/>
  </r>
  <r>
    <x v="0"/>
    <n v="8"/>
    <x v="142"/>
    <x v="3"/>
    <n v="1225"/>
    <x v="136"/>
    <x v="36"/>
    <n v="265413.25"/>
    <n v="240000"/>
  </r>
  <r>
    <x v="0"/>
    <n v="8"/>
    <x v="143"/>
    <x v="2"/>
    <n v="1227"/>
    <x v="137"/>
    <x v="36"/>
    <n v="238.1"/>
    <n v="0"/>
  </r>
  <r>
    <x v="0"/>
    <n v="8"/>
    <x v="144"/>
    <x v="3"/>
    <n v="1238"/>
    <x v="138"/>
    <x v="36"/>
    <n v="6658.68"/>
    <n v="0"/>
  </r>
  <r>
    <x v="0"/>
    <n v="8"/>
    <x v="145"/>
    <x v="2"/>
    <n v="1243"/>
    <x v="139"/>
    <x v="36"/>
    <n v="3493.03"/>
    <n v="0"/>
  </r>
  <r>
    <x v="0"/>
    <n v="8"/>
    <x v="146"/>
    <x v="4"/>
    <n v="1245"/>
    <x v="140"/>
    <x v="36"/>
    <n v="3281.55"/>
    <n v="0"/>
  </r>
  <r>
    <x v="0"/>
    <n v="8"/>
    <x v="147"/>
    <x v="2"/>
    <n v="1246"/>
    <x v="141"/>
    <x v="36"/>
    <n v="681178.2"/>
    <n v="0"/>
  </r>
  <r>
    <x v="0"/>
    <n v="8"/>
    <x v="148"/>
    <x v="1"/>
    <n v="1247"/>
    <x v="142"/>
    <x v="36"/>
    <n v="29127.05"/>
    <n v="0"/>
  </r>
  <r>
    <x v="0"/>
    <n v="8"/>
    <x v="149"/>
    <x v="4"/>
    <n v="1248"/>
    <x v="143"/>
    <x v="36"/>
    <n v="25292.93"/>
    <n v="0"/>
  </r>
  <r>
    <x v="0"/>
    <n v="8"/>
    <x v="150"/>
    <x v="4"/>
    <n v="1250"/>
    <x v="144"/>
    <x v="36"/>
    <n v="78.47"/>
    <n v="0"/>
  </r>
  <r>
    <x v="0"/>
    <n v="8"/>
    <x v="151"/>
    <x v="5"/>
    <n v="1251"/>
    <x v="145"/>
    <x v="36"/>
    <n v="326.87"/>
    <n v="0"/>
  </r>
  <r>
    <x v="0"/>
    <n v="8"/>
    <x v="152"/>
    <x v="3"/>
    <n v="1254"/>
    <x v="146"/>
    <x v="36"/>
    <n v="533832.25"/>
    <n v="447000"/>
  </r>
  <r>
    <x v="0"/>
    <n v="8"/>
    <x v="153"/>
    <x v="4"/>
    <n v="1263"/>
    <x v="147"/>
    <x v="36"/>
    <n v="238.12"/>
    <n v="0"/>
  </r>
  <r>
    <x v="0"/>
    <n v="8"/>
    <x v="154"/>
    <x v="5"/>
    <n v="1255"/>
    <x v="148"/>
    <x v="36"/>
    <n v="32733.34"/>
    <n v="0"/>
  </r>
  <r>
    <x v="0"/>
    <n v="8"/>
    <x v="155"/>
    <x v="5"/>
    <n v="1261"/>
    <x v="149"/>
    <x v="36"/>
    <n v="605.78"/>
    <n v="0"/>
  </r>
  <r>
    <x v="0"/>
    <n v="8"/>
    <x v="156"/>
    <x v="4"/>
    <n v="1262"/>
    <x v="150"/>
    <x v="36"/>
    <n v="18638.3"/>
    <n v="0"/>
  </r>
  <r>
    <x v="0"/>
    <n v="8"/>
    <x v="157"/>
    <x v="2"/>
    <n v="1253"/>
    <x v="151"/>
    <x v="36"/>
    <n v="1267.79"/>
    <n v="0"/>
  </r>
  <r>
    <x v="0"/>
    <n v="8"/>
    <x v="158"/>
    <x v="4"/>
    <n v="1264"/>
    <x v="152"/>
    <x v="36"/>
    <n v="6000.05"/>
    <n v="0"/>
  </r>
  <r>
    <x v="0"/>
    <n v="8"/>
    <x v="159"/>
    <x v="5"/>
    <n v="1265"/>
    <x v="153"/>
    <x v="36"/>
    <n v="15936.33"/>
    <n v="0"/>
  </r>
  <r>
    <x v="0"/>
    <n v="8"/>
    <x v="160"/>
    <x v="2"/>
    <n v="1266"/>
    <x v="154"/>
    <x v="36"/>
    <n v="1284540.8500000001"/>
    <n v="0"/>
  </r>
  <r>
    <x v="0"/>
    <n v="8"/>
    <x v="161"/>
    <x v="5"/>
    <n v="1267"/>
    <x v="155"/>
    <x v="36"/>
    <n v="21061.25"/>
    <n v="36000"/>
  </r>
  <r>
    <x v="0"/>
    <n v="8"/>
    <x v="162"/>
    <x v="1"/>
    <n v="1268"/>
    <x v="156"/>
    <x v="36"/>
    <n v="11705.39"/>
    <n v="0"/>
  </r>
  <r>
    <x v="0"/>
    <n v="8"/>
    <x v="163"/>
    <x v="5"/>
    <n v="1269"/>
    <x v="157"/>
    <x v="36"/>
    <n v="1578.73"/>
    <n v="0"/>
  </r>
  <r>
    <x v="0"/>
    <n v="8"/>
    <x v="164"/>
    <x v="4"/>
    <n v="1270"/>
    <x v="158"/>
    <x v="36"/>
    <n v="145.08000000000001"/>
    <n v="0"/>
  </r>
  <r>
    <x v="0"/>
    <n v="8"/>
    <x v="165"/>
    <x v="4"/>
    <n v="1271"/>
    <x v="159"/>
    <x v="36"/>
    <n v="4853.22"/>
    <n v="0"/>
  </r>
  <r>
    <x v="0"/>
    <n v="8"/>
    <x v="166"/>
    <x v="4"/>
    <n v="1274"/>
    <x v="160"/>
    <x v="36"/>
    <n v="164693.16"/>
    <n v="240000"/>
  </r>
  <r>
    <x v="0"/>
    <n v="8"/>
    <x v="167"/>
    <x v="4"/>
    <n v="1278"/>
    <x v="161"/>
    <x v="36"/>
    <n v="52213.48"/>
    <n v="0"/>
  </r>
  <r>
    <x v="0"/>
    <n v="8"/>
    <x v="168"/>
    <x v="5"/>
    <n v="1277"/>
    <x v="162"/>
    <x v="36"/>
    <n v="3304.77"/>
    <n v="0"/>
  </r>
  <r>
    <x v="0"/>
    <n v="8"/>
    <x v="169"/>
    <x v="4"/>
    <n v="1012"/>
    <x v="163"/>
    <x v="36"/>
    <n v="5167.51"/>
    <n v="0"/>
  </r>
  <r>
    <x v="0"/>
    <n v="8"/>
    <x v="170"/>
    <x v="4"/>
    <n v="1013"/>
    <x v="164"/>
    <x v="36"/>
    <n v="1121.24"/>
    <n v="0"/>
  </r>
  <r>
    <x v="0"/>
    <n v="8"/>
    <x v="171"/>
    <x v="5"/>
    <n v="1256"/>
    <x v="165"/>
    <x v="36"/>
    <n v="181158.93"/>
    <n v="0"/>
  </r>
  <r>
    <x v="0"/>
    <n v="8"/>
    <x v="172"/>
    <x v="4"/>
    <n v="1014"/>
    <x v="166"/>
    <x v="36"/>
    <n v="2971.23"/>
    <n v="0"/>
  </r>
  <r>
    <x v="0"/>
    <n v="8"/>
    <x v="173"/>
    <x v="4"/>
    <n v="1283"/>
    <x v="167"/>
    <x v="36"/>
    <n v="95089.03"/>
    <n v="0"/>
  </r>
  <r>
    <x v="0"/>
    <n v="8"/>
    <x v="174"/>
    <x v="4"/>
    <n v="1284"/>
    <x v="168"/>
    <x v="36"/>
    <n v="84380.81"/>
    <n v="0"/>
  </r>
  <r>
    <x v="0"/>
    <n v="8"/>
    <x v="175"/>
    <x v="4"/>
    <n v="1285"/>
    <x v="169"/>
    <x v="36"/>
    <n v="25330.59"/>
    <n v="0"/>
  </r>
  <r>
    <x v="0"/>
    <n v="8"/>
    <x v="176"/>
    <x v="4"/>
    <n v="1016"/>
    <x v="170"/>
    <x v="36"/>
    <n v="107.86"/>
    <n v="0"/>
  </r>
  <r>
    <x v="0"/>
    <n v="8"/>
    <x v="177"/>
    <x v="5"/>
    <n v="1282"/>
    <x v="171"/>
    <x v="36"/>
    <n v="4818.03"/>
    <n v="0"/>
  </r>
  <r>
    <x v="0"/>
    <n v="8"/>
    <x v="178"/>
    <x v="1"/>
    <n v="1286"/>
    <x v="172"/>
    <x v="36"/>
    <n v="48331.86"/>
    <n v="0"/>
  </r>
  <r>
    <x v="0"/>
    <n v="8"/>
    <x v="179"/>
    <x v="5"/>
    <n v="1000"/>
    <x v="173"/>
    <x v="36"/>
    <n v="9091.42"/>
    <n v="0"/>
  </r>
  <r>
    <x v="0"/>
    <n v="8"/>
    <x v="180"/>
    <x v="5"/>
    <n v="1001"/>
    <x v="174"/>
    <x v="36"/>
    <n v="63642.48"/>
    <n v="0"/>
  </r>
  <r>
    <x v="0"/>
    <n v="8"/>
    <x v="181"/>
    <x v="5"/>
    <n v="1002"/>
    <x v="175"/>
    <x v="36"/>
    <n v="38708.300000000003"/>
    <n v="0"/>
  </r>
  <r>
    <x v="0"/>
    <n v="8"/>
    <x v="182"/>
    <x v="2"/>
    <n v="1017"/>
    <x v="176"/>
    <x v="36"/>
    <n v="4942.45"/>
    <n v="0"/>
  </r>
  <r>
    <x v="0"/>
    <n v="8"/>
    <x v="183"/>
    <x v="4"/>
    <n v="1003"/>
    <x v="177"/>
    <x v="36"/>
    <n v="2460.6799999999998"/>
    <n v="0"/>
  </r>
  <r>
    <x v="0"/>
    <n v="8"/>
    <x v="184"/>
    <x v="5"/>
    <n v="1004"/>
    <x v="178"/>
    <x v="36"/>
    <n v="942.23"/>
    <n v="0"/>
  </r>
  <r>
    <x v="0"/>
    <n v="8"/>
    <x v="185"/>
    <x v="5"/>
    <n v="1005"/>
    <x v="179"/>
    <x v="36"/>
    <n v="1346.64"/>
    <n v="0"/>
  </r>
  <r>
    <x v="0"/>
    <n v="8"/>
    <x v="186"/>
    <x v="5"/>
    <n v="1008"/>
    <x v="180"/>
    <x v="55"/>
    <n v="66.239999999999995"/>
    <n v="0"/>
  </r>
  <r>
    <x v="0"/>
    <n v="8"/>
    <x v="187"/>
    <x v="0"/>
    <m/>
    <x v="181"/>
    <x v="36"/>
    <n v="34452.019999999997"/>
    <n v="99000"/>
  </r>
  <r>
    <x v="0"/>
    <n v="8"/>
    <x v="188"/>
    <x v="0"/>
    <m/>
    <x v="181"/>
    <x v="36"/>
    <n v="34452.019999999997"/>
    <n v="99000"/>
  </r>
  <r>
    <x v="0"/>
    <n v="8"/>
    <x v="189"/>
    <x v="1"/>
    <n v="1058"/>
    <x v="182"/>
    <x v="36"/>
    <n v="34452.019999999997"/>
    <n v="99000"/>
  </r>
  <r>
    <x v="0"/>
    <n v="8"/>
    <x v="190"/>
    <x v="0"/>
    <m/>
    <x v="183"/>
    <x v="56"/>
    <n v="1635207119.04"/>
    <n v="2486335000"/>
  </r>
  <r>
    <x v="0"/>
    <n v="8"/>
    <x v="191"/>
    <x v="0"/>
    <m/>
    <x v="184"/>
    <x v="57"/>
    <n v="269358751.26999998"/>
    <n v="389736000"/>
  </r>
  <r>
    <x v="0"/>
    <n v="8"/>
    <x v="192"/>
    <x v="0"/>
    <m/>
    <x v="185"/>
    <x v="58"/>
    <n v="81275661.390000001"/>
    <n v="122321000"/>
  </r>
  <r>
    <x v="0"/>
    <n v="8"/>
    <x v="193"/>
    <x v="0"/>
    <m/>
    <x v="186"/>
    <x v="59"/>
    <n v="81230762.540000007"/>
    <n v="122033000"/>
  </r>
  <r>
    <x v="0"/>
    <n v="8"/>
    <x v="194"/>
    <x v="0"/>
    <m/>
    <x v="187"/>
    <x v="59"/>
    <n v="76287694.629999995"/>
    <n v="112637000"/>
  </r>
  <r>
    <x v="0"/>
    <n v="8"/>
    <x v="195"/>
    <x v="1"/>
    <n v="1163"/>
    <x v="188"/>
    <x v="59"/>
    <n v="76287694.629999995"/>
    <n v="112637000"/>
  </r>
  <r>
    <x v="0"/>
    <n v="8"/>
    <x v="196"/>
    <x v="0"/>
    <m/>
    <x v="189"/>
    <x v="36"/>
    <n v="4943067.91"/>
    <n v="9396000"/>
  </r>
  <r>
    <x v="0"/>
    <n v="8"/>
    <x v="197"/>
    <x v="1"/>
    <n v="2962"/>
    <x v="190"/>
    <x v="36"/>
    <n v="0"/>
    <n v="4465000"/>
  </r>
  <r>
    <x v="0"/>
    <n v="8"/>
    <x v="198"/>
    <x v="1"/>
    <n v="2961"/>
    <x v="191"/>
    <x v="36"/>
    <n v="4943067.91"/>
    <n v="3945000"/>
  </r>
  <r>
    <x v="0"/>
    <n v="8"/>
    <x v="199"/>
    <x v="1"/>
    <n v="2013"/>
    <x v="192"/>
    <x v="36"/>
    <n v="0"/>
    <n v="986000"/>
  </r>
  <r>
    <x v="0"/>
    <n v="8"/>
    <x v="200"/>
    <x v="0"/>
    <m/>
    <x v="193"/>
    <x v="60"/>
    <n v="44898.85"/>
    <n v="288000"/>
  </r>
  <r>
    <x v="0"/>
    <n v="8"/>
    <x v="201"/>
    <x v="1"/>
    <n v="1198"/>
    <x v="194"/>
    <x v="60"/>
    <n v="44898.85"/>
    <n v="288000"/>
  </r>
  <r>
    <x v="0"/>
    <n v="8"/>
    <x v="202"/>
    <x v="0"/>
    <m/>
    <x v="195"/>
    <x v="61"/>
    <n v="9404496.1400000006"/>
    <n v="16483000"/>
  </r>
  <r>
    <x v="0"/>
    <n v="8"/>
    <x v="203"/>
    <x v="0"/>
    <m/>
    <x v="196"/>
    <x v="36"/>
    <n v="129827.66"/>
    <n v="232000"/>
  </r>
  <r>
    <x v="0"/>
    <n v="8"/>
    <x v="204"/>
    <x v="1"/>
    <n v="1171"/>
    <x v="197"/>
    <x v="36"/>
    <n v="129827.66"/>
    <n v="232000"/>
  </r>
  <r>
    <x v="0"/>
    <n v="8"/>
    <x v="205"/>
    <x v="0"/>
    <m/>
    <x v="198"/>
    <x v="62"/>
    <n v="1210602.47"/>
    <n v="2032000"/>
  </r>
  <r>
    <x v="0"/>
    <n v="8"/>
    <x v="206"/>
    <x v="1"/>
    <n v="2275"/>
    <x v="199"/>
    <x v="62"/>
    <n v="1210602.47"/>
    <n v="2032000"/>
  </r>
  <r>
    <x v="0"/>
    <n v="8"/>
    <x v="207"/>
    <x v="0"/>
    <m/>
    <x v="200"/>
    <x v="63"/>
    <n v="8064066.0099999998"/>
    <n v="14219000"/>
  </r>
  <r>
    <x v="0"/>
    <n v="8"/>
    <x v="208"/>
    <x v="0"/>
    <m/>
    <x v="201"/>
    <x v="64"/>
    <n v="6507962.5599999996"/>
    <n v="11143000"/>
  </r>
  <r>
    <x v="0"/>
    <n v="8"/>
    <x v="209"/>
    <x v="1"/>
    <n v="1201"/>
    <x v="202"/>
    <x v="64"/>
    <n v="6507962.5599999996"/>
    <n v="11143000"/>
  </r>
  <r>
    <x v="0"/>
    <n v="8"/>
    <x v="210"/>
    <x v="0"/>
    <m/>
    <x v="203"/>
    <x v="65"/>
    <n v="227060.3"/>
    <n v="444000"/>
  </r>
  <r>
    <x v="0"/>
    <n v="8"/>
    <x v="211"/>
    <x v="1"/>
    <n v="1202"/>
    <x v="204"/>
    <x v="65"/>
    <n v="227060.3"/>
    <n v="444000"/>
  </r>
  <r>
    <x v="0"/>
    <n v="8"/>
    <x v="212"/>
    <x v="0"/>
    <m/>
    <x v="205"/>
    <x v="66"/>
    <n v="1329043.1499999999"/>
    <n v="2632000"/>
  </r>
  <r>
    <x v="0"/>
    <n v="8"/>
    <x v="213"/>
    <x v="1"/>
    <n v="1203"/>
    <x v="206"/>
    <x v="66"/>
    <n v="1329043.1499999999"/>
    <n v="2632000"/>
  </r>
  <r>
    <x v="0"/>
    <n v="8"/>
    <x v="214"/>
    <x v="0"/>
    <m/>
    <x v="207"/>
    <x v="67"/>
    <n v="121805564.06"/>
    <n v="171379000"/>
  </r>
  <r>
    <x v="0"/>
    <n v="8"/>
    <x v="215"/>
    <x v="0"/>
    <m/>
    <x v="208"/>
    <x v="67"/>
    <n v="121805564.06"/>
    <n v="171379000"/>
  </r>
  <r>
    <x v="0"/>
    <n v="8"/>
    <x v="216"/>
    <x v="0"/>
    <m/>
    <x v="209"/>
    <x v="68"/>
    <n v="22332231.82"/>
    <n v="33000000"/>
  </r>
  <r>
    <x v="0"/>
    <n v="8"/>
    <x v="217"/>
    <x v="5"/>
    <n v="1420"/>
    <x v="210"/>
    <x v="69"/>
    <n v="17830743.82"/>
    <n v="25553000"/>
  </r>
  <r>
    <x v="0"/>
    <n v="8"/>
    <x v="218"/>
    <x v="5"/>
    <n v="2003"/>
    <x v="211"/>
    <x v="70"/>
    <n v="4501488"/>
    <n v="7447000"/>
  </r>
  <r>
    <x v="0"/>
    <n v="8"/>
    <x v="219"/>
    <x v="0"/>
    <m/>
    <x v="212"/>
    <x v="71"/>
    <n v="89034420.810000002"/>
    <n v="126000000"/>
  </r>
  <r>
    <x v="0"/>
    <n v="8"/>
    <x v="220"/>
    <x v="5"/>
    <n v="1406"/>
    <x v="213"/>
    <x v="71"/>
    <n v="83954634.150000006"/>
    <n v="126000000"/>
  </r>
  <r>
    <x v="0"/>
    <n v="8"/>
    <x v="221"/>
    <x v="5"/>
    <n v="1408"/>
    <x v="214"/>
    <x v="36"/>
    <n v="300000"/>
    <n v="0"/>
  </r>
  <r>
    <x v="0"/>
    <n v="8"/>
    <x v="222"/>
    <x v="5"/>
    <n v="2005"/>
    <x v="215"/>
    <x v="36"/>
    <n v="4779786.66"/>
    <n v="0"/>
  </r>
  <r>
    <x v="0"/>
    <n v="8"/>
    <x v="223"/>
    <x v="0"/>
    <m/>
    <x v="216"/>
    <x v="72"/>
    <n v="5652812.8300000001"/>
    <n v="7936000"/>
  </r>
  <r>
    <x v="0"/>
    <n v="8"/>
    <x v="224"/>
    <x v="5"/>
    <n v="1350"/>
    <x v="217"/>
    <x v="73"/>
    <n v="1450377.47"/>
    <n v="1442000"/>
  </r>
  <r>
    <x v="0"/>
    <n v="8"/>
    <x v="225"/>
    <x v="5"/>
    <n v="1341"/>
    <x v="218"/>
    <x v="74"/>
    <n v="405743.35999999999"/>
    <n v="608000"/>
  </r>
  <r>
    <x v="0"/>
    <n v="8"/>
    <x v="226"/>
    <x v="5"/>
    <n v="2002"/>
    <x v="219"/>
    <x v="75"/>
    <n v="3796692"/>
    <n v="5886000"/>
  </r>
  <r>
    <x v="0"/>
    <n v="8"/>
    <x v="227"/>
    <x v="0"/>
    <m/>
    <x v="220"/>
    <x v="76"/>
    <n v="2815581.6"/>
    <n v="4443000"/>
  </r>
  <r>
    <x v="0"/>
    <n v="8"/>
    <x v="228"/>
    <x v="5"/>
    <n v="1376"/>
    <x v="221"/>
    <x v="76"/>
    <n v="2815581.6"/>
    <n v="4443000"/>
  </r>
  <r>
    <x v="0"/>
    <n v="8"/>
    <x v="229"/>
    <x v="0"/>
    <m/>
    <x v="222"/>
    <x v="77"/>
    <n v="1970517"/>
    <n v="0"/>
  </r>
  <r>
    <x v="0"/>
    <n v="8"/>
    <x v="230"/>
    <x v="5"/>
    <n v="2010"/>
    <x v="223"/>
    <x v="77"/>
    <n v="1970517"/>
    <n v="0"/>
  </r>
  <r>
    <x v="0"/>
    <n v="8"/>
    <x v="231"/>
    <x v="0"/>
    <m/>
    <x v="224"/>
    <x v="78"/>
    <n v="50609652.390000001"/>
    <n v="71693000"/>
  </r>
  <r>
    <x v="0"/>
    <n v="8"/>
    <x v="232"/>
    <x v="0"/>
    <m/>
    <x v="225"/>
    <x v="79"/>
    <n v="42564538.329999998"/>
    <n v="59931000"/>
  </r>
  <r>
    <x v="0"/>
    <n v="8"/>
    <x v="233"/>
    <x v="5"/>
    <n v="1260"/>
    <x v="226"/>
    <x v="79"/>
    <n v="42564538.329999998"/>
    <n v="59931000"/>
  </r>
  <r>
    <x v="0"/>
    <n v="8"/>
    <x v="234"/>
    <x v="0"/>
    <m/>
    <x v="227"/>
    <x v="36"/>
    <n v="1320"/>
    <n v="0"/>
  </r>
  <r>
    <x v="0"/>
    <n v="8"/>
    <x v="235"/>
    <x v="5"/>
    <n v="1332"/>
    <x v="228"/>
    <x v="36"/>
    <n v="1320"/>
    <n v="0"/>
  </r>
  <r>
    <x v="0"/>
    <n v="8"/>
    <x v="236"/>
    <x v="0"/>
    <m/>
    <x v="229"/>
    <x v="80"/>
    <n v="7656338.4800000004"/>
    <n v="11055000"/>
  </r>
  <r>
    <x v="0"/>
    <n v="8"/>
    <x v="237"/>
    <x v="5"/>
    <n v="2731"/>
    <x v="230"/>
    <x v="81"/>
    <n v="1584610.2"/>
    <n v="2326000"/>
  </r>
  <r>
    <x v="0"/>
    <n v="8"/>
    <x v="238"/>
    <x v="5"/>
    <n v="2732"/>
    <x v="231"/>
    <x v="82"/>
    <n v="175180"/>
    <n v="223000"/>
  </r>
  <r>
    <x v="0"/>
    <n v="8"/>
    <x v="239"/>
    <x v="5"/>
    <n v="2733"/>
    <x v="232"/>
    <x v="83"/>
    <n v="2748725.2"/>
    <n v="3948000"/>
  </r>
  <r>
    <x v="0"/>
    <n v="8"/>
    <x v="240"/>
    <x v="5"/>
    <n v="2734"/>
    <x v="233"/>
    <x v="84"/>
    <n v="3040203.8"/>
    <n v="4417000"/>
  </r>
  <r>
    <x v="0"/>
    <n v="8"/>
    <x v="241"/>
    <x v="5"/>
    <n v="2735"/>
    <x v="234"/>
    <x v="85"/>
    <n v="70540.679999999993"/>
    <n v="91000"/>
  </r>
  <r>
    <x v="0"/>
    <n v="8"/>
    <x v="242"/>
    <x v="5"/>
    <n v="2736"/>
    <x v="235"/>
    <x v="86"/>
    <n v="37078.6"/>
    <n v="50000"/>
  </r>
  <r>
    <x v="0"/>
    <n v="8"/>
    <x v="243"/>
    <x v="0"/>
    <m/>
    <x v="236"/>
    <x v="87"/>
    <n v="387455.58"/>
    <n v="707000"/>
  </r>
  <r>
    <x v="0"/>
    <n v="8"/>
    <x v="244"/>
    <x v="5"/>
    <n v="2740"/>
    <x v="237"/>
    <x v="87"/>
    <n v="387455.58"/>
    <n v="707000"/>
  </r>
  <r>
    <x v="0"/>
    <n v="8"/>
    <x v="245"/>
    <x v="0"/>
    <m/>
    <x v="238"/>
    <x v="88"/>
    <n v="2958814.8"/>
    <n v="3476000"/>
  </r>
  <r>
    <x v="0"/>
    <n v="8"/>
    <x v="246"/>
    <x v="0"/>
    <m/>
    <x v="239"/>
    <x v="88"/>
    <n v="2958814.8"/>
    <n v="3476000"/>
  </r>
  <r>
    <x v="0"/>
    <n v="8"/>
    <x v="247"/>
    <x v="5"/>
    <n v="2180"/>
    <x v="240"/>
    <x v="89"/>
    <n v="1726374.29"/>
    <n v="1379000"/>
  </r>
  <r>
    <x v="0"/>
    <n v="8"/>
    <x v="248"/>
    <x v="5"/>
    <n v="2596"/>
    <x v="241"/>
    <x v="36"/>
    <n v="59977.5"/>
    <n v="868000"/>
  </r>
  <r>
    <x v="0"/>
    <n v="8"/>
    <x v="249"/>
    <x v="5"/>
    <n v="2181"/>
    <x v="242"/>
    <x v="90"/>
    <n v="952463.01"/>
    <n v="1229000"/>
  </r>
  <r>
    <x v="0"/>
    <n v="8"/>
    <x v="250"/>
    <x v="5"/>
    <n v="2015"/>
    <x v="243"/>
    <x v="36"/>
    <n v="220000"/>
    <n v="0"/>
  </r>
  <r>
    <x v="0"/>
    <n v="8"/>
    <x v="251"/>
    <x v="0"/>
    <m/>
    <x v="244"/>
    <x v="36"/>
    <n v="496123.68"/>
    <n v="499000"/>
  </r>
  <r>
    <x v="0"/>
    <n v="8"/>
    <x v="252"/>
    <x v="0"/>
    <m/>
    <x v="245"/>
    <x v="36"/>
    <n v="496123.68"/>
    <n v="499000"/>
  </r>
  <r>
    <x v="0"/>
    <n v="8"/>
    <x v="253"/>
    <x v="5"/>
    <n v="1172"/>
    <x v="246"/>
    <x v="36"/>
    <n v="494704.18"/>
    <n v="0"/>
  </r>
  <r>
    <x v="0"/>
    <n v="8"/>
    <x v="254"/>
    <x v="5"/>
    <n v="1174"/>
    <x v="247"/>
    <x v="36"/>
    <n v="1419.5"/>
    <n v="0"/>
  </r>
  <r>
    <x v="0"/>
    <n v="8"/>
    <x v="255"/>
    <x v="5"/>
    <n v="2644"/>
    <x v="248"/>
    <x v="36"/>
    <n v="0"/>
    <n v="499000"/>
  </r>
  <r>
    <x v="0"/>
    <n v="8"/>
    <x v="256"/>
    <x v="0"/>
    <m/>
    <x v="245"/>
    <x v="91"/>
    <n v="2808438.81"/>
    <n v="3885000"/>
  </r>
  <r>
    <x v="0"/>
    <n v="8"/>
    <x v="257"/>
    <x v="0"/>
    <m/>
    <x v="249"/>
    <x v="91"/>
    <n v="2541383.36"/>
    <n v="3885000"/>
  </r>
  <r>
    <x v="0"/>
    <n v="8"/>
    <x v="258"/>
    <x v="5"/>
    <n v="1948"/>
    <x v="250"/>
    <x v="91"/>
    <n v="2541383.36"/>
    <n v="3885000"/>
  </r>
  <r>
    <x v="0"/>
    <n v="8"/>
    <x v="259"/>
    <x v="0"/>
    <m/>
    <x v="245"/>
    <x v="36"/>
    <n v="267055.45"/>
    <n v="0"/>
  </r>
  <r>
    <x v="0"/>
    <n v="8"/>
    <x v="260"/>
    <x v="5"/>
    <n v="2004"/>
    <x v="251"/>
    <x v="36"/>
    <n v="267055.45"/>
    <n v="0"/>
  </r>
  <r>
    <x v="0"/>
    <n v="8"/>
    <x v="261"/>
    <x v="0"/>
    <m/>
    <x v="252"/>
    <x v="92"/>
    <n v="1059815041.3"/>
    <n v="1598816000"/>
  </r>
  <r>
    <x v="0"/>
    <n v="8"/>
    <x v="262"/>
    <x v="0"/>
    <m/>
    <x v="253"/>
    <x v="93"/>
    <n v="997974657.82000005"/>
    <n v="1560625000"/>
  </r>
  <r>
    <x v="0"/>
    <n v="8"/>
    <x v="263"/>
    <x v="0"/>
    <m/>
    <x v="254"/>
    <x v="94"/>
    <n v="797999576.78999996"/>
    <n v="1362664000"/>
  </r>
  <r>
    <x v="0"/>
    <n v="8"/>
    <x v="264"/>
    <x v="1"/>
    <n v="1236"/>
    <x v="254"/>
    <x v="94"/>
    <n v="797999576.78999996"/>
    <n v="1362664000"/>
  </r>
  <r>
    <x v="0"/>
    <n v="8"/>
    <x v="265"/>
    <x v="0"/>
    <m/>
    <x v="255"/>
    <x v="95"/>
    <n v="195503449.61000001"/>
    <n v="188241000"/>
  </r>
  <r>
    <x v="0"/>
    <n v="8"/>
    <x v="266"/>
    <x v="1"/>
    <n v="1287"/>
    <x v="255"/>
    <x v="95"/>
    <n v="195503449.61000001"/>
    <n v="188241000"/>
  </r>
  <r>
    <x v="0"/>
    <n v="8"/>
    <x v="267"/>
    <x v="0"/>
    <m/>
    <x v="256"/>
    <x v="96"/>
    <n v="4469690.3600000003"/>
    <n v="9307000"/>
  </r>
  <r>
    <x v="0"/>
    <n v="8"/>
    <x v="268"/>
    <x v="1"/>
    <n v="1252"/>
    <x v="257"/>
    <x v="96"/>
    <n v="4469690.3600000003"/>
    <n v="9307000"/>
  </r>
  <r>
    <x v="0"/>
    <n v="8"/>
    <x v="269"/>
    <x v="0"/>
    <m/>
    <x v="258"/>
    <x v="36"/>
    <n v="1941.06"/>
    <n v="413000"/>
  </r>
  <r>
    <x v="0"/>
    <n v="8"/>
    <x v="270"/>
    <x v="1"/>
    <n v="1840"/>
    <x v="258"/>
    <x v="36"/>
    <n v="1941.06"/>
    <n v="413000"/>
  </r>
  <r>
    <x v="0"/>
    <n v="8"/>
    <x v="271"/>
    <x v="0"/>
    <m/>
    <x v="259"/>
    <x v="97"/>
    <n v="60207000.549999997"/>
    <n v="36491000"/>
  </r>
  <r>
    <x v="0"/>
    <n v="8"/>
    <x v="272"/>
    <x v="0"/>
    <m/>
    <x v="260"/>
    <x v="98"/>
    <n v="9941435.9000000004"/>
    <n v="4196000"/>
  </r>
  <r>
    <x v="0"/>
    <n v="8"/>
    <x v="273"/>
    <x v="4"/>
    <n v="1414"/>
    <x v="261"/>
    <x v="99"/>
    <n v="9291435.9000000004"/>
    <n v="4196000"/>
  </r>
  <r>
    <x v="0"/>
    <n v="8"/>
    <x v="274"/>
    <x v="4"/>
    <n v="1417"/>
    <x v="262"/>
    <x v="100"/>
    <n v="650000"/>
    <n v="0"/>
  </r>
  <r>
    <x v="0"/>
    <n v="8"/>
    <x v="275"/>
    <x v="0"/>
    <m/>
    <x v="263"/>
    <x v="101"/>
    <n v="49217199.439999998"/>
    <n v="28160000"/>
  </r>
  <r>
    <x v="0"/>
    <n v="8"/>
    <x v="276"/>
    <x v="4"/>
    <n v="2907"/>
    <x v="264"/>
    <x v="102"/>
    <n v="17011804.960000001"/>
    <n v="28160000"/>
  </r>
  <r>
    <x v="0"/>
    <n v="8"/>
    <x v="277"/>
    <x v="4"/>
    <n v="2255"/>
    <x v="265"/>
    <x v="103"/>
    <n v="29156838"/>
    <n v="0"/>
  </r>
  <r>
    <x v="0"/>
    <n v="8"/>
    <x v="278"/>
    <x v="4"/>
    <n v="2256"/>
    <x v="266"/>
    <x v="36"/>
    <n v="3048556.48"/>
    <n v="0"/>
  </r>
  <r>
    <x v="0"/>
    <n v="8"/>
    <x v="279"/>
    <x v="0"/>
    <m/>
    <x v="267"/>
    <x v="36"/>
    <n v="1048365.21"/>
    <n v="4135000"/>
  </r>
  <r>
    <x v="0"/>
    <n v="8"/>
    <x v="280"/>
    <x v="4"/>
    <n v="1391"/>
    <x v="268"/>
    <x v="36"/>
    <n v="0"/>
    <n v="898000"/>
  </r>
  <r>
    <x v="0"/>
    <n v="8"/>
    <x v="281"/>
    <x v="4"/>
    <n v="2247"/>
    <x v="269"/>
    <x v="36"/>
    <n v="1048365.21"/>
    <n v="3237000"/>
  </r>
  <r>
    <x v="0"/>
    <n v="8"/>
    <x v="282"/>
    <x v="0"/>
    <m/>
    <x v="270"/>
    <x v="104"/>
    <n v="1633382.93"/>
    <n v="1700000"/>
  </r>
  <r>
    <x v="0"/>
    <n v="8"/>
    <x v="283"/>
    <x v="0"/>
    <m/>
    <x v="271"/>
    <x v="104"/>
    <n v="1433382.93"/>
    <n v="1700000"/>
  </r>
  <r>
    <x v="0"/>
    <n v="8"/>
    <x v="284"/>
    <x v="4"/>
    <n v="2311"/>
    <x v="272"/>
    <x v="104"/>
    <n v="1133571.1599999999"/>
    <n v="1700000"/>
  </r>
  <r>
    <x v="0"/>
    <n v="8"/>
    <x v="285"/>
    <x v="4"/>
    <n v="2313"/>
    <x v="273"/>
    <x v="36"/>
    <n v="299811.77"/>
    <n v="0"/>
  </r>
  <r>
    <x v="0"/>
    <n v="8"/>
    <x v="286"/>
    <x v="0"/>
    <m/>
    <x v="274"/>
    <x v="36"/>
    <n v="200000"/>
    <n v="0"/>
  </r>
  <r>
    <x v="0"/>
    <n v="8"/>
    <x v="287"/>
    <x v="4"/>
    <n v="2137"/>
    <x v="275"/>
    <x v="36"/>
    <n v="200000"/>
    <n v="0"/>
  </r>
  <r>
    <x v="0"/>
    <n v="8"/>
    <x v="288"/>
    <x v="0"/>
    <m/>
    <x v="276"/>
    <x v="36"/>
    <n v="0"/>
    <n v="44000"/>
  </r>
  <r>
    <x v="0"/>
    <n v="8"/>
    <x v="289"/>
    <x v="0"/>
    <m/>
    <x v="276"/>
    <x v="36"/>
    <n v="0"/>
    <n v="44000"/>
  </r>
  <r>
    <x v="0"/>
    <n v="8"/>
    <x v="290"/>
    <x v="0"/>
    <m/>
    <x v="277"/>
    <x v="36"/>
    <n v="0"/>
    <n v="44000"/>
  </r>
  <r>
    <x v="0"/>
    <n v="8"/>
    <x v="291"/>
    <x v="2"/>
    <n v="2611"/>
    <x v="278"/>
    <x v="36"/>
    <n v="0"/>
    <n v="44000"/>
  </r>
  <r>
    <x v="0"/>
    <n v="8"/>
    <x v="292"/>
    <x v="0"/>
    <m/>
    <x v="279"/>
    <x v="105"/>
    <n v="306033326.47000003"/>
    <n v="497739000"/>
  </r>
  <r>
    <x v="0"/>
    <n v="8"/>
    <x v="293"/>
    <x v="0"/>
    <m/>
    <x v="280"/>
    <x v="105"/>
    <n v="306033326.47000003"/>
    <n v="497739000"/>
  </r>
  <r>
    <x v="0"/>
    <n v="8"/>
    <x v="294"/>
    <x v="0"/>
    <m/>
    <x v="281"/>
    <x v="105"/>
    <n v="306033326.47000003"/>
    <n v="497739000"/>
  </r>
  <r>
    <x v="0"/>
    <n v="8"/>
    <x v="295"/>
    <x v="4"/>
    <n v="1321"/>
    <x v="282"/>
    <x v="106"/>
    <n v="26195392.670000002"/>
    <n v="39696000"/>
  </r>
  <r>
    <x v="0"/>
    <n v="8"/>
    <x v="296"/>
    <x v="4"/>
    <n v="1322"/>
    <x v="283"/>
    <x v="107"/>
    <n v="109003.22"/>
    <n v="670000"/>
  </r>
  <r>
    <x v="0"/>
    <n v="8"/>
    <x v="297"/>
    <x v="4"/>
    <n v="1324"/>
    <x v="284"/>
    <x v="108"/>
    <n v="224695152.77000001"/>
    <n v="404069000"/>
  </r>
  <r>
    <x v="0"/>
    <n v="8"/>
    <x v="298"/>
    <x v="4"/>
    <n v="1325"/>
    <x v="285"/>
    <x v="109"/>
    <n v="1243891.22"/>
    <n v="2431000"/>
  </r>
  <r>
    <x v="0"/>
    <n v="8"/>
    <x v="299"/>
    <x v="4"/>
    <n v="1326"/>
    <x v="286"/>
    <x v="110"/>
    <n v="42613324.140000001"/>
    <n v="41126000"/>
  </r>
  <r>
    <x v="0"/>
    <n v="8"/>
    <x v="300"/>
    <x v="4"/>
    <n v="1327"/>
    <x v="287"/>
    <x v="111"/>
    <n v="4529354.18"/>
    <n v="7220000"/>
  </r>
  <r>
    <x v="0"/>
    <n v="8"/>
    <x v="301"/>
    <x v="4"/>
    <n v="1328"/>
    <x v="288"/>
    <x v="112"/>
    <n v="1842039.02"/>
    <n v="2527000"/>
  </r>
  <r>
    <x v="0"/>
    <n v="8"/>
    <x v="302"/>
    <x v="4"/>
    <n v="2017"/>
    <x v="289"/>
    <x v="113"/>
    <n v="4805169.25"/>
    <n v="0"/>
  </r>
  <r>
    <x v="0"/>
    <n v="8"/>
    <x v="303"/>
    <x v="0"/>
    <m/>
    <x v="290"/>
    <x v="114"/>
    <n v="79198406.870000005"/>
    <n v="94538000"/>
  </r>
  <r>
    <x v="0"/>
    <n v="8"/>
    <x v="304"/>
    <x v="0"/>
    <m/>
    <x v="291"/>
    <x v="115"/>
    <n v="26293022.5"/>
    <n v="37952000"/>
  </r>
  <r>
    <x v="0"/>
    <n v="8"/>
    <x v="305"/>
    <x v="0"/>
    <m/>
    <x v="291"/>
    <x v="115"/>
    <n v="26293022.5"/>
    <n v="37952000"/>
  </r>
  <r>
    <x v="0"/>
    <n v="8"/>
    <x v="306"/>
    <x v="0"/>
    <m/>
    <x v="292"/>
    <x v="116"/>
    <n v="1627204.5"/>
    <n v="4124000"/>
  </r>
  <r>
    <x v="0"/>
    <n v="8"/>
    <x v="307"/>
    <x v="0"/>
    <m/>
    <x v="293"/>
    <x v="117"/>
    <n v="1407356.59"/>
    <n v="4122000"/>
  </r>
  <r>
    <x v="0"/>
    <n v="8"/>
    <x v="308"/>
    <x v="1"/>
    <n v="2011"/>
    <x v="294"/>
    <x v="118"/>
    <n v="338770.22"/>
    <n v="765000"/>
  </r>
  <r>
    <x v="0"/>
    <n v="8"/>
    <x v="309"/>
    <x v="2"/>
    <n v="2046"/>
    <x v="295"/>
    <x v="36"/>
    <n v="0"/>
    <n v="18000"/>
  </r>
  <r>
    <x v="0"/>
    <n v="8"/>
    <x v="310"/>
    <x v="2"/>
    <n v="2070"/>
    <x v="296"/>
    <x v="119"/>
    <n v="150799.15"/>
    <n v="274000"/>
  </r>
  <r>
    <x v="0"/>
    <n v="8"/>
    <x v="311"/>
    <x v="2"/>
    <n v="2072"/>
    <x v="297"/>
    <x v="120"/>
    <n v="73964.14"/>
    <n v="65000"/>
  </r>
  <r>
    <x v="0"/>
    <n v="8"/>
    <x v="312"/>
    <x v="3"/>
    <n v="1950"/>
    <x v="298"/>
    <x v="121"/>
    <n v="843823.08"/>
    <n v="3000000"/>
  </r>
  <r>
    <x v="0"/>
    <n v="8"/>
    <x v="313"/>
    <x v="0"/>
    <m/>
    <x v="299"/>
    <x v="36"/>
    <n v="4086.2"/>
    <n v="0"/>
  </r>
  <r>
    <x v="0"/>
    <n v="8"/>
    <x v="314"/>
    <x v="3"/>
    <n v="2075"/>
    <x v="300"/>
    <x v="36"/>
    <n v="4086.2"/>
    <n v="0"/>
  </r>
  <r>
    <x v="0"/>
    <n v="8"/>
    <x v="315"/>
    <x v="0"/>
    <m/>
    <x v="301"/>
    <x v="122"/>
    <n v="103437.47"/>
    <n v="2000"/>
  </r>
  <r>
    <x v="0"/>
    <n v="8"/>
    <x v="316"/>
    <x v="1"/>
    <n v="2062"/>
    <x v="302"/>
    <x v="123"/>
    <n v="327.22000000000003"/>
    <n v="2000"/>
  </r>
  <r>
    <x v="0"/>
    <n v="8"/>
    <x v="317"/>
    <x v="3"/>
    <n v="2074"/>
    <x v="303"/>
    <x v="124"/>
    <n v="103110.25"/>
    <n v="0"/>
  </r>
  <r>
    <x v="0"/>
    <n v="8"/>
    <x v="318"/>
    <x v="0"/>
    <m/>
    <x v="304"/>
    <x v="125"/>
    <n v="112324.24"/>
    <n v="0"/>
  </r>
  <r>
    <x v="0"/>
    <n v="8"/>
    <x v="319"/>
    <x v="3"/>
    <n v="2073"/>
    <x v="305"/>
    <x v="125"/>
    <n v="112324.24"/>
    <n v="0"/>
  </r>
  <r>
    <x v="0"/>
    <n v="8"/>
    <x v="320"/>
    <x v="0"/>
    <m/>
    <x v="306"/>
    <x v="126"/>
    <n v="53335.89"/>
    <n v="0"/>
  </r>
  <r>
    <x v="0"/>
    <n v="8"/>
    <x v="321"/>
    <x v="1"/>
    <n v="2006"/>
    <x v="307"/>
    <x v="126"/>
    <n v="53335.89"/>
    <n v="0"/>
  </r>
  <r>
    <x v="0"/>
    <n v="8"/>
    <x v="322"/>
    <x v="0"/>
    <m/>
    <x v="308"/>
    <x v="127"/>
    <n v="24612482.109999999"/>
    <n v="33828000"/>
  </r>
  <r>
    <x v="0"/>
    <n v="8"/>
    <x v="323"/>
    <x v="3"/>
    <n v="2127"/>
    <x v="309"/>
    <x v="127"/>
    <n v="24612482.109999999"/>
    <n v="31980000"/>
  </r>
  <r>
    <x v="0"/>
    <n v="8"/>
    <x v="324"/>
    <x v="3"/>
    <n v="2128"/>
    <x v="310"/>
    <x v="36"/>
    <n v="0"/>
    <n v="1845000"/>
  </r>
  <r>
    <x v="0"/>
    <n v="8"/>
    <x v="325"/>
    <x v="3"/>
    <n v="2760"/>
    <x v="311"/>
    <x v="36"/>
    <n v="0"/>
    <n v="2000"/>
  </r>
  <r>
    <x v="0"/>
    <n v="8"/>
    <x v="326"/>
    <x v="3"/>
    <n v="2770"/>
    <x v="312"/>
    <x v="36"/>
    <n v="0"/>
    <n v="1000"/>
  </r>
  <r>
    <x v="0"/>
    <n v="8"/>
    <x v="327"/>
    <x v="0"/>
    <m/>
    <x v="313"/>
    <x v="128"/>
    <n v="8059418.0099999998"/>
    <n v="68000"/>
  </r>
  <r>
    <x v="0"/>
    <n v="8"/>
    <x v="328"/>
    <x v="0"/>
    <m/>
    <x v="314"/>
    <x v="129"/>
    <n v="461732.44"/>
    <n v="68000"/>
  </r>
  <r>
    <x v="0"/>
    <n v="8"/>
    <x v="329"/>
    <x v="0"/>
    <m/>
    <x v="315"/>
    <x v="129"/>
    <n v="461732.44"/>
    <n v="68000"/>
  </r>
  <r>
    <x v="0"/>
    <n v="8"/>
    <x v="330"/>
    <x v="1"/>
    <n v="2171"/>
    <x v="314"/>
    <x v="129"/>
    <n v="461732.44"/>
    <n v="68000"/>
  </r>
  <r>
    <x v="0"/>
    <n v="8"/>
    <x v="331"/>
    <x v="0"/>
    <m/>
    <x v="316"/>
    <x v="130"/>
    <n v="7597685.5700000003"/>
    <n v="0"/>
  </r>
  <r>
    <x v="0"/>
    <n v="8"/>
    <x v="332"/>
    <x v="0"/>
    <m/>
    <x v="317"/>
    <x v="130"/>
    <n v="7597685.5700000003"/>
    <n v="0"/>
  </r>
  <r>
    <x v="0"/>
    <n v="8"/>
    <x v="333"/>
    <x v="0"/>
    <m/>
    <x v="318"/>
    <x v="130"/>
    <n v="7597685.5700000003"/>
    <n v="0"/>
  </r>
  <r>
    <x v="0"/>
    <n v="8"/>
    <x v="334"/>
    <x v="1"/>
    <n v="2170"/>
    <x v="317"/>
    <x v="130"/>
    <n v="7597685.5700000003"/>
    <n v="0"/>
  </r>
  <r>
    <x v="0"/>
    <n v="8"/>
    <x v="335"/>
    <x v="0"/>
    <m/>
    <x v="319"/>
    <x v="131"/>
    <n v="44845966.359999999"/>
    <n v="56518000"/>
  </r>
  <r>
    <x v="0"/>
    <n v="8"/>
    <x v="336"/>
    <x v="0"/>
    <m/>
    <x v="290"/>
    <x v="131"/>
    <n v="44845966.359999999"/>
    <n v="56518000"/>
  </r>
  <r>
    <x v="0"/>
    <n v="8"/>
    <x v="337"/>
    <x v="0"/>
    <m/>
    <x v="320"/>
    <x v="131"/>
    <n v="44845966.359999999"/>
    <n v="56518000"/>
  </r>
  <r>
    <x v="0"/>
    <n v="8"/>
    <x v="338"/>
    <x v="0"/>
    <m/>
    <x v="321"/>
    <x v="131"/>
    <n v="44845966.359999999"/>
    <n v="56518000"/>
  </r>
  <r>
    <x v="0"/>
    <n v="8"/>
    <x v="339"/>
    <x v="3"/>
    <n v="2194"/>
    <x v="322"/>
    <x v="36"/>
    <n v="0"/>
    <n v="2000"/>
  </r>
  <r>
    <x v="0"/>
    <n v="8"/>
    <x v="340"/>
    <x v="3"/>
    <n v="2135"/>
    <x v="323"/>
    <x v="132"/>
    <n v="9288986.0199999996"/>
    <n v="11745000"/>
  </r>
  <r>
    <x v="0"/>
    <n v="8"/>
    <x v="341"/>
    <x v="3"/>
    <n v="1580"/>
    <x v="324"/>
    <x v="36"/>
    <n v="0"/>
    <n v="1000"/>
  </r>
  <r>
    <x v="0"/>
    <n v="8"/>
    <x v="342"/>
    <x v="1"/>
    <n v="2089"/>
    <x v="325"/>
    <x v="133"/>
    <n v="2490505.17"/>
    <n v="1626000"/>
  </r>
  <r>
    <x v="0"/>
    <n v="8"/>
    <x v="343"/>
    <x v="1"/>
    <n v="2097"/>
    <x v="326"/>
    <x v="36"/>
    <n v="0"/>
    <n v="4000"/>
  </r>
  <r>
    <x v="0"/>
    <n v="8"/>
    <x v="344"/>
    <x v="3"/>
    <n v="2160"/>
    <x v="327"/>
    <x v="134"/>
    <n v="2005346.92"/>
    <n v="2016000"/>
  </r>
  <r>
    <x v="0"/>
    <n v="8"/>
    <x v="345"/>
    <x v="3"/>
    <n v="2970"/>
    <x v="328"/>
    <x v="36"/>
    <n v="0"/>
    <n v="1000"/>
  </r>
  <r>
    <x v="0"/>
    <n v="8"/>
    <x v="346"/>
    <x v="3"/>
    <n v="1520"/>
    <x v="329"/>
    <x v="36"/>
    <n v="0"/>
    <n v="1000"/>
  </r>
  <r>
    <x v="0"/>
    <n v="8"/>
    <x v="347"/>
    <x v="1"/>
    <n v="2208"/>
    <x v="330"/>
    <x v="135"/>
    <n v="11057998.529999999"/>
    <n v="13860000"/>
  </r>
  <r>
    <x v="0"/>
    <n v="8"/>
    <x v="348"/>
    <x v="3"/>
    <n v="2348"/>
    <x v="331"/>
    <x v="136"/>
    <n v="489695.52"/>
    <n v="254000"/>
  </r>
  <r>
    <x v="0"/>
    <n v="8"/>
    <x v="349"/>
    <x v="3"/>
    <n v="2350"/>
    <x v="332"/>
    <x v="36"/>
    <n v="0"/>
    <n v="1000"/>
  </r>
  <r>
    <x v="0"/>
    <n v="8"/>
    <x v="350"/>
    <x v="3"/>
    <n v="2987"/>
    <x v="333"/>
    <x v="137"/>
    <n v="1405239.9"/>
    <n v="1470000"/>
  </r>
  <r>
    <x v="0"/>
    <n v="8"/>
    <x v="351"/>
    <x v="3"/>
    <n v="2988"/>
    <x v="334"/>
    <x v="36"/>
    <n v="0"/>
    <n v="720000"/>
  </r>
  <r>
    <x v="0"/>
    <n v="8"/>
    <x v="352"/>
    <x v="3"/>
    <n v="2989"/>
    <x v="335"/>
    <x v="138"/>
    <n v="1875180.42"/>
    <n v="901000"/>
  </r>
  <r>
    <x v="0"/>
    <n v="8"/>
    <x v="353"/>
    <x v="3"/>
    <n v="2967"/>
    <x v="336"/>
    <x v="139"/>
    <n v="916245.79"/>
    <n v="1176000"/>
  </r>
  <r>
    <x v="0"/>
    <n v="8"/>
    <x v="354"/>
    <x v="3"/>
    <n v="2891"/>
    <x v="337"/>
    <x v="36"/>
    <n v="0"/>
    <n v="6000"/>
  </r>
  <r>
    <x v="0"/>
    <n v="8"/>
    <x v="355"/>
    <x v="1"/>
    <n v="2605"/>
    <x v="338"/>
    <x v="140"/>
    <n v="45077.77"/>
    <n v="26000"/>
  </r>
  <r>
    <x v="0"/>
    <n v="8"/>
    <x v="356"/>
    <x v="3"/>
    <n v="2892"/>
    <x v="339"/>
    <x v="141"/>
    <n v="4771832.97"/>
    <n v="6314000"/>
  </r>
  <r>
    <x v="0"/>
    <n v="8"/>
    <x v="357"/>
    <x v="2"/>
    <n v="2720"/>
    <x v="340"/>
    <x v="142"/>
    <n v="66220"/>
    <n v="123000"/>
  </r>
  <r>
    <x v="0"/>
    <n v="8"/>
    <x v="358"/>
    <x v="3"/>
    <n v="2893"/>
    <x v="341"/>
    <x v="143"/>
    <n v="1309190.3999999999"/>
    <n v="2828000"/>
  </r>
  <r>
    <x v="0"/>
    <n v="8"/>
    <x v="359"/>
    <x v="1"/>
    <n v="2461"/>
    <x v="342"/>
    <x v="144"/>
    <n v="4838515.68"/>
    <n v="6805000"/>
  </r>
  <r>
    <x v="0"/>
    <n v="8"/>
    <x v="360"/>
    <x v="1"/>
    <n v="1690"/>
    <x v="343"/>
    <x v="145"/>
    <n v="4285931.2699999996"/>
    <n v="6638000"/>
  </r>
  <r>
    <x v="0"/>
    <n v="8"/>
    <x v="361"/>
    <x v="0"/>
    <m/>
    <x v="344"/>
    <x v="146"/>
    <n v="18796808.43"/>
    <n v="15054000"/>
  </r>
  <r>
    <x v="0"/>
    <n v="8"/>
    <x v="362"/>
    <x v="0"/>
    <m/>
    <x v="345"/>
    <x v="146"/>
    <n v="18796808.43"/>
    <n v="15054000"/>
  </r>
  <r>
    <x v="0"/>
    <n v="8"/>
    <x v="363"/>
    <x v="0"/>
    <m/>
    <x v="184"/>
    <x v="147"/>
    <n v="8832200.1799999997"/>
    <n v="0"/>
  </r>
  <r>
    <x v="0"/>
    <n v="8"/>
    <x v="364"/>
    <x v="0"/>
    <m/>
    <x v="346"/>
    <x v="36"/>
    <n v="124848"/>
    <n v="0"/>
  </r>
  <r>
    <x v="0"/>
    <n v="8"/>
    <x v="365"/>
    <x v="0"/>
    <m/>
    <x v="347"/>
    <x v="36"/>
    <n v="124848"/>
    <n v="0"/>
  </r>
  <r>
    <x v="0"/>
    <n v="8"/>
    <x v="366"/>
    <x v="5"/>
    <n v="2693"/>
    <x v="348"/>
    <x v="36"/>
    <n v="124848"/>
    <n v="0"/>
  </r>
  <r>
    <x v="0"/>
    <n v="8"/>
    <x v="367"/>
    <x v="0"/>
    <m/>
    <x v="238"/>
    <x v="36"/>
    <n v="153931"/>
    <n v="0"/>
  </r>
  <r>
    <x v="0"/>
    <n v="8"/>
    <x v="368"/>
    <x v="0"/>
    <m/>
    <x v="239"/>
    <x v="36"/>
    <n v="153931"/>
    <n v="0"/>
  </r>
  <r>
    <x v="0"/>
    <n v="8"/>
    <x v="369"/>
    <x v="5"/>
    <n v="2014"/>
    <x v="349"/>
    <x v="36"/>
    <n v="153931"/>
    <n v="0"/>
  </r>
  <r>
    <x v="0"/>
    <n v="8"/>
    <x v="370"/>
    <x v="0"/>
    <m/>
    <x v="350"/>
    <x v="148"/>
    <n v="2200640.1800000002"/>
    <n v="0"/>
  </r>
  <r>
    <x v="0"/>
    <n v="8"/>
    <x v="371"/>
    <x v="0"/>
    <m/>
    <x v="351"/>
    <x v="148"/>
    <n v="2200640.1800000002"/>
    <n v="0"/>
  </r>
  <r>
    <x v="0"/>
    <n v="8"/>
    <x v="372"/>
    <x v="5"/>
    <n v="2581"/>
    <x v="352"/>
    <x v="36"/>
    <n v="29328.66"/>
    <n v="0"/>
  </r>
  <r>
    <x v="0"/>
    <n v="8"/>
    <x v="373"/>
    <x v="5"/>
    <n v="2616"/>
    <x v="353"/>
    <x v="36"/>
    <n v="955000"/>
    <n v="0"/>
  </r>
  <r>
    <x v="0"/>
    <n v="8"/>
    <x v="374"/>
    <x v="5"/>
    <n v="2133"/>
    <x v="354"/>
    <x v="36"/>
    <n v="1050500"/>
    <n v="0"/>
  </r>
  <r>
    <x v="0"/>
    <n v="8"/>
    <x v="375"/>
    <x v="5"/>
    <n v="2019"/>
    <x v="355"/>
    <x v="148"/>
    <n v="165811.51999999999"/>
    <n v="0"/>
  </r>
  <r>
    <x v="0"/>
    <n v="8"/>
    <x v="376"/>
    <x v="0"/>
    <m/>
    <x v="245"/>
    <x v="149"/>
    <n v="6352781"/>
    <n v="0"/>
  </r>
  <r>
    <x v="0"/>
    <n v="8"/>
    <x v="377"/>
    <x v="0"/>
    <m/>
    <x v="245"/>
    <x v="149"/>
    <n v="6352781"/>
    <n v="0"/>
  </r>
  <r>
    <x v="0"/>
    <n v="8"/>
    <x v="378"/>
    <x v="5"/>
    <n v="2141"/>
    <x v="356"/>
    <x v="149"/>
    <n v="6352781"/>
    <n v="0"/>
  </r>
  <r>
    <x v="0"/>
    <n v="8"/>
    <x v="379"/>
    <x v="0"/>
    <m/>
    <x v="252"/>
    <x v="150"/>
    <n v="220131.31"/>
    <n v="5522000"/>
  </r>
  <r>
    <x v="0"/>
    <n v="8"/>
    <x v="380"/>
    <x v="0"/>
    <m/>
    <x v="357"/>
    <x v="150"/>
    <n v="150131.31"/>
    <n v="5522000"/>
  </r>
  <r>
    <x v="0"/>
    <n v="8"/>
    <x v="381"/>
    <x v="0"/>
    <m/>
    <x v="267"/>
    <x v="150"/>
    <n v="150131.31"/>
    <n v="5522000"/>
  </r>
  <r>
    <x v="0"/>
    <n v="8"/>
    <x v="382"/>
    <x v="4"/>
    <n v="2118"/>
    <x v="358"/>
    <x v="36"/>
    <n v="0"/>
    <n v="5522000"/>
  </r>
  <r>
    <x v="0"/>
    <n v="8"/>
    <x v="383"/>
    <x v="4"/>
    <n v="2021"/>
    <x v="359"/>
    <x v="150"/>
    <n v="150131.31"/>
    <n v="0"/>
  </r>
  <r>
    <x v="0"/>
    <n v="8"/>
    <x v="384"/>
    <x v="0"/>
    <m/>
    <x v="360"/>
    <x v="36"/>
    <n v="70000"/>
    <n v="0"/>
  </r>
  <r>
    <x v="0"/>
    <n v="8"/>
    <x v="385"/>
    <x v="0"/>
    <m/>
    <x v="360"/>
    <x v="36"/>
    <n v="70000"/>
    <n v="0"/>
  </r>
  <r>
    <x v="0"/>
    <n v="8"/>
    <x v="386"/>
    <x v="4"/>
    <n v="2314"/>
    <x v="361"/>
    <x v="36"/>
    <n v="70000"/>
    <n v="0"/>
  </r>
  <r>
    <x v="0"/>
    <n v="8"/>
    <x v="387"/>
    <x v="0"/>
    <m/>
    <x v="276"/>
    <x v="151"/>
    <n v="9744476.9399999995"/>
    <n v="9532000"/>
  </r>
  <r>
    <x v="0"/>
    <n v="8"/>
    <x v="388"/>
    <x v="0"/>
    <m/>
    <x v="276"/>
    <x v="151"/>
    <n v="9744476.9399999995"/>
    <n v="9532000"/>
  </r>
  <r>
    <x v="0"/>
    <n v="8"/>
    <x v="389"/>
    <x v="0"/>
    <m/>
    <x v="362"/>
    <x v="151"/>
    <n v="9744476.9399999995"/>
    <n v="9532000"/>
  </r>
  <r>
    <x v="0"/>
    <n v="8"/>
    <x v="390"/>
    <x v="2"/>
    <n v="2612"/>
    <x v="363"/>
    <x v="152"/>
    <n v="26028.28"/>
    <n v="6648000"/>
  </r>
  <r>
    <x v="0"/>
    <n v="8"/>
    <x v="391"/>
    <x v="3"/>
    <n v="2622"/>
    <x v="364"/>
    <x v="153"/>
    <n v="4478969.32"/>
    <n v="2040000"/>
  </r>
  <r>
    <x v="0"/>
    <n v="8"/>
    <x v="392"/>
    <x v="2"/>
    <n v="2628"/>
    <x v="365"/>
    <x v="154"/>
    <n v="5239479.34"/>
    <n v="844000"/>
  </r>
  <r>
    <x v="0"/>
    <n v="8"/>
    <x v="393"/>
    <x v="0"/>
    <m/>
    <x v="366"/>
    <x v="155"/>
    <n v="2099582.7400000002"/>
    <n v="0"/>
  </r>
  <r>
    <x v="0"/>
    <n v="8"/>
    <x v="394"/>
    <x v="0"/>
    <m/>
    <x v="367"/>
    <x v="155"/>
    <n v="2099582.7400000002"/>
    <n v="0"/>
  </r>
  <r>
    <x v="0"/>
    <n v="8"/>
    <x v="395"/>
    <x v="0"/>
    <m/>
    <x v="368"/>
    <x v="155"/>
    <n v="2099582.7400000002"/>
    <n v="0"/>
  </r>
  <r>
    <x v="0"/>
    <n v="8"/>
    <x v="396"/>
    <x v="0"/>
    <m/>
    <x v="369"/>
    <x v="155"/>
    <n v="2099582.7400000002"/>
    <n v="0"/>
  </r>
  <r>
    <x v="0"/>
    <n v="8"/>
    <x v="397"/>
    <x v="3"/>
    <n v="2316"/>
    <x v="370"/>
    <x v="155"/>
    <n v="2099582.7400000002"/>
    <n v="0"/>
  </r>
  <r>
    <x v="0"/>
    <n v="8"/>
    <x v="398"/>
    <x v="0"/>
    <m/>
    <x v="371"/>
    <x v="156"/>
    <n v="-214861063.02000001"/>
    <n v="-334627000"/>
  </r>
  <r>
    <x v="0"/>
    <n v="8"/>
    <x v="399"/>
    <x v="0"/>
    <m/>
    <x v="372"/>
    <x v="156"/>
    <n v="-214861063.02000001"/>
    <n v="-334627000"/>
  </r>
  <r>
    <x v="0"/>
    <n v="8"/>
    <x v="400"/>
    <x v="0"/>
    <m/>
    <x v="373"/>
    <x v="156"/>
    <n v="-214861063.02000001"/>
    <n v="-334627000"/>
  </r>
  <r>
    <x v="0"/>
    <n v="8"/>
    <x v="401"/>
    <x v="0"/>
    <m/>
    <x v="374"/>
    <x v="157"/>
    <n v="-15266518.33"/>
    <n v="-22585000"/>
  </r>
  <r>
    <x v="0"/>
    <n v="8"/>
    <x v="402"/>
    <x v="1"/>
    <n v="2640"/>
    <x v="375"/>
    <x v="158"/>
    <n v="-15257538.640000001"/>
    <n v="-22527000"/>
  </r>
  <r>
    <x v="0"/>
    <n v="8"/>
    <x v="403"/>
    <x v="1"/>
    <n v="2710"/>
    <x v="376"/>
    <x v="159"/>
    <n v="-8979.69"/>
    <n v="-58000"/>
  </r>
  <r>
    <x v="0"/>
    <n v="8"/>
    <x v="404"/>
    <x v="0"/>
    <m/>
    <x v="377"/>
    <x v="160"/>
    <n v="-199594544.69"/>
    <n v="-312042000"/>
  </r>
  <r>
    <x v="0"/>
    <n v="8"/>
    <x v="405"/>
    <x v="1"/>
    <n v="2650"/>
    <x v="378"/>
    <x v="161"/>
    <n v="-159599915.16999999"/>
    <n v="-272533000"/>
  </r>
  <r>
    <x v="0"/>
    <n v="8"/>
    <x v="406"/>
    <x v="1"/>
    <n v="2711"/>
    <x v="379"/>
    <x v="162"/>
    <n v="-39100691.420000002"/>
    <n v="-37648000"/>
  </r>
  <r>
    <x v="0"/>
    <n v="8"/>
    <x v="407"/>
    <x v="1"/>
    <n v="2399"/>
    <x v="380"/>
    <x v="163"/>
    <n v="-893938.1"/>
    <n v="-1861000"/>
  </r>
  <r>
    <x v="1"/>
    <m/>
    <x v="408"/>
    <x v="0"/>
    <m/>
    <x v="381"/>
    <x v="16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387" firstHeaderRow="0" firstDataRow="1" firstDataCol="1" rowPageCount="1" colPageCount="1"/>
  <pivotFields count="9">
    <pivotField showAll="0">
      <items count="3">
        <item x="0"/>
        <item x="1"/>
        <item t="default"/>
      </items>
    </pivotField>
    <pivotField showAll="0"/>
    <pivotField dataField="1" showAll="0">
      <items count="4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t="default"/>
      </items>
    </pivotField>
    <pivotField axis="axisPage" showAll="0">
      <items count="8">
        <item x="1"/>
        <item x="4"/>
        <item x="3"/>
        <item x="5"/>
        <item x="2"/>
        <item x="6"/>
        <item x="0"/>
        <item t="default"/>
      </items>
    </pivotField>
    <pivotField showAll="0"/>
    <pivotField axis="axisRow" showAll="0">
      <items count="383">
        <item x="60"/>
        <item x="59"/>
        <item x="58"/>
        <item x="223"/>
        <item x="340"/>
        <item x="365"/>
        <item x="250"/>
        <item x="65"/>
        <item x="63"/>
        <item x="330"/>
        <item x="48"/>
        <item x="49"/>
        <item x="51"/>
        <item x="50"/>
        <item x="53"/>
        <item x="55"/>
        <item x="54"/>
        <item x="52"/>
        <item x="269"/>
        <item x="278"/>
        <item x="363"/>
        <item x="358"/>
        <item x="353"/>
        <item x="355"/>
        <item x="354"/>
        <item x="264"/>
        <item x="265"/>
        <item x="266"/>
        <item x="197"/>
        <item x="199"/>
        <item x="196"/>
        <item x="198"/>
        <item x="200"/>
        <item x="201"/>
        <item x="258"/>
        <item x="190"/>
        <item x="192"/>
        <item x="189"/>
        <item x="191"/>
        <item x="187"/>
        <item x="188"/>
        <item x="186"/>
        <item x="205"/>
        <item x="206"/>
        <item x="254"/>
        <item x="193"/>
        <item x="194"/>
        <item x="257"/>
        <item x="256"/>
        <item x="255"/>
        <item x="203"/>
        <item x="202"/>
        <item x="204"/>
        <item x="215"/>
        <item x="372"/>
        <item x="373"/>
        <item x="371"/>
        <item x="375"/>
        <item x="378"/>
        <item x="380"/>
        <item x="379"/>
        <item x="376"/>
        <item x="374"/>
        <item x="377"/>
        <item x="319"/>
        <item x="368"/>
        <item x="311"/>
        <item x="312"/>
        <item x="326"/>
        <item x="325"/>
        <item x="305"/>
        <item x="303"/>
        <item x="302"/>
        <item x="342"/>
        <item x="181"/>
        <item x="182"/>
        <item x="338"/>
        <item x="275"/>
        <item x="356"/>
        <item x="359"/>
        <item x="262"/>
        <item x="361"/>
        <item x="57"/>
        <item x="248"/>
        <item x="61"/>
        <item x="62"/>
        <item x="288"/>
        <item x="282"/>
        <item x="284"/>
        <item x="285"/>
        <item x="286"/>
        <item x="287"/>
        <item x="283"/>
        <item x="289"/>
        <item x="323"/>
        <item x="273"/>
        <item x="272"/>
        <item x="268"/>
        <item x="329"/>
        <item x="322"/>
        <item x="335"/>
        <item x="370"/>
        <item x="339"/>
        <item x="331"/>
        <item x="332"/>
        <item x="334"/>
        <item x="337"/>
        <item x="336"/>
        <item x="324"/>
        <item x="333"/>
        <item x="341"/>
        <item x="243"/>
        <item x="349"/>
        <item x="328"/>
        <item x="4"/>
        <item x="8"/>
        <item x="9"/>
        <item x="7"/>
        <item x="5"/>
        <item x="6"/>
        <item x="14"/>
        <item x="18"/>
        <item x="19"/>
        <item x="15"/>
        <item x="17"/>
        <item x="16"/>
        <item x="28"/>
        <item x="29"/>
        <item x="22"/>
        <item x="24"/>
        <item x="27"/>
        <item x="23"/>
        <item x="26"/>
        <item x="25"/>
        <item x="12"/>
        <item x="11"/>
        <item x="2"/>
        <item x="20"/>
        <item x="13"/>
        <item x="3"/>
        <item x="21"/>
        <item x="10"/>
        <item x="1"/>
        <item x="314"/>
        <item x="313"/>
        <item x="113"/>
        <item x="132"/>
        <item x="72"/>
        <item x="171"/>
        <item x="124"/>
        <item x="100"/>
        <item x="127"/>
        <item x="141"/>
        <item x="170"/>
        <item x="172"/>
        <item x="125"/>
        <item x="156"/>
        <item x="78"/>
        <item x="80"/>
        <item x="93"/>
        <item x="116"/>
        <item x="166"/>
        <item x="118"/>
        <item x="122"/>
        <item x="164"/>
        <item x="140"/>
        <item x="147"/>
        <item x="89"/>
        <item x="153"/>
        <item x="149"/>
        <item x="145"/>
        <item x="174"/>
        <item x="180"/>
        <item x="175"/>
        <item x="163"/>
        <item x="144"/>
        <item x="160"/>
        <item x="167"/>
        <item x="168"/>
        <item x="169"/>
        <item x="90"/>
        <item x="84"/>
        <item x="112"/>
        <item x="121"/>
        <item x="162"/>
        <item x="134"/>
        <item x="135"/>
        <item x="150"/>
        <item x="165"/>
        <item x="158"/>
        <item x="126"/>
        <item x="152"/>
        <item x="123"/>
        <item x="148"/>
        <item x="179"/>
        <item x="178"/>
        <item x="133"/>
        <item x="95"/>
        <item x="69"/>
        <item x="83"/>
        <item x="91"/>
        <item x="86"/>
        <item x="96"/>
        <item x="119"/>
        <item x="98"/>
        <item x="70"/>
        <item x="97"/>
        <item x="115"/>
        <item x="106"/>
        <item x="104"/>
        <item x="107"/>
        <item x="146"/>
        <item x="79"/>
        <item x="105"/>
        <item x="74"/>
        <item x="94"/>
        <item x="103"/>
        <item x="143"/>
        <item x="155"/>
        <item x="109"/>
        <item x="81"/>
        <item x="117"/>
        <item x="157"/>
        <item x="142"/>
        <item x="154"/>
        <item x="138"/>
        <item x="87"/>
        <item x="99"/>
        <item x="136"/>
        <item x="173"/>
        <item x="102"/>
        <item x="85"/>
        <item x="77"/>
        <item x="101"/>
        <item x="161"/>
        <item x="159"/>
        <item x="110"/>
        <item x="151"/>
        <item x="139"/>
        <item x="137"/>
        <item x="128"/>
        <item x="177"/>
        <item x="92"/>
        <item x="111"/>
        <item x="76"/>
        <item x="88"/>
        <item x="75"/>
        <item x="114"/>
        <item x="71"/>
        <item x="73"/>
        <item x="129"/>
        <item x="131"/>
        <item x="130"/>
        <item x="176"/>
        <item x="108"/>
        <item x="120"/>
        <item x="82"/>
        <item x="300"/>
        <item x="67"/>
        <item x="242"/>
        <item x="291"/>
        <item x="343"/>
        <item x="306"/>
        <item x="307"/>
        <item x="297"/>
        <item x="295"/>
        <item x="298"/>
        <item x="294"/>
        <item x="296"/>
        <item x="292"/>
        <item x="301"/>
        <item x="299"/>
        <item x="293"/>
        <item x="304"/>
        <item x="310"/>
        <item x="309"/>
        <item x="308"/>
        <item x="315"/>
        <item x="320"/>
        <item x="290"/>
        <item x="367"/>
        <item x="321"/>
        <item x="369"/>
        <item x="351"/>
        <item x="267"/>
        <item x="362"/>
        <item x="245"/>
        <item x="347"/>
        <item x="360"/>
        <item x="274"/>
        <item x="270"/>
        <item x="253"/>
        <item x="364"/>
        <item x="241"/>
        <item x="352"/>
        <item x="251"/>
        <item x="228"/>
        <item x="246"/>
        <item x="231"/>
        <item x="232"/>
        <item x="234"/>
        <item x="233"/>
        <item x="235"/>
        <item x="230"/>
        <item x="237"/>
        <item x="64"/>
        <item x="56"/>
        <item x="0"/>
        <item x="366"/>
        <item x="344"/>
        <item x="68"/>
        <item x="247"/>
        <item x="317"/>
        <item x="318"/>
        <item x="316"/>
        <item x="221"/>
        <item x="211"/>
        <item x="348"/>
        <item x="213"/>
        <item x="261"/>
        <item x="210"/>
        <item x="219"/>
        <item x="218"/>
        <item x="217"/>
        <item x="37"/>
        <item x="46"/>
        <item x="44"/>
        <item x="40"/>
        <item x="45"/>
        <item x="42"/>
        <item x="34"/>
        <item x="36"/>
        <item x="38"/>
        <item x="33"/>
        <item x="35"/>
        <item x="47"/>
        <item x="39"/>
        <item x="30"/>
        <item x="32"/>
        <item x="41"/>
        <item x="43"/>
        <item x="31"/>
        <item x="214"/>
        <item x="226"/>
        <item x="249"/>
        <item x="183"/>
        <item x="184"/>
        <item x="195"/>
        <item x="345"/>
        <item x="244"/>
        <item x="350"/>
        <item x="277"/>
        <item x="263"/>
        <item x="259"/>
        <item x="357"/>
        <item x="260"/>
        <item x="271"/>
        <item x="276"/>
        <item x="279"/>
        <item x="220"/>
        <item x="212"/>
        <item x="209"/>
        <item x="222"/>
        <item x="216"/>
        <item x="280"/>
        <item x="281"/>
        <item x="240"/>
        <item x="239"/>
        <item x="238"/>
        <item x="224"/>
        <item x="346"/>
        <item x="208"/>
        <item x="207"/>
        <item x="185"/>
        <item x="227"/>
        <item x="225"/>
        <item x="252"/>
        <item x="229"/>
        <item x="236"/>
        <item x="66"/>
        <item x="327"/>
        <item x="381"/>
        <item t="default"/>
      </items>
    </pivotField>
    <pivotField dataField="1" showAll="0">
      <items count="166">
        <item x="156"/>
        <item x="160"/>
        <item x="161"/>
        <item x="157"/>
        <item x="158"/>
        <item x="162"/>
        <item x="163"/>
        <item x="159"/>
        <item x="36"/>
        <item x="35"/>
        <item x="123"/>
        <item x="42"/>
        <item x="55"/>
        <item x="43"/>
        <item x="41"/>
        <item x="140"/>
        <item x="155"/>
        <item x="125"/>
        <item x="124"/>
        <item x="122"/>
        <item x="31"/>
        <item x="53"/>
        <item x="152"/>
        <item x="86"/>
        <item x="60"/>
        <item x="23"/>
        <item x="107"/>
        <item x="85"/>
        <item x="142"/>
        <item x="12"/>
        <item x="62"/>
        <item x="120"/>
        <item x="34"/>
        <item x="119"/>
        <item x="129"/>
        <item x="37"/>
        <item x="82"/>
        <item x="33"/>
        <item x="50"/>
        <item x="99"/>
        <item x="136"/>
        <item x="29"/>
        <item x="126"/>
        <item x="65"/>
        <item x="121"/>
        <item x="118"/>
        <item x="38"/>
        <item x="74"/>
        <item x="133"/>
        <item x="130"/>
        <item x="139"/>
        <item x="87"/>
        <item x="128"/>
        <item x="32"/>
        <item x="54"/>
        <item x="90"/>
        <item x="52"/>
        <item x="117"/>
        <item x="116"/>
        <item x="7"/>
        <item x="104"/>
        <item x="109"/>
        <item x="150"/>
        <item x="148"/>
        <item x="66"/>
        <item x="51"/>
        <item x="112"/>
        <item x="89"/>
        <item x="49"/>
        <item x="134"/>
        <item x="45"/>
        <item x="138"/>
        <item x="81"/>
        <item x="22"/>
        <item x="91"/>
        <item x="88"/>
        <item x="48"/>
        <item x="47"/>
        <item x="76"/>
        <item x="73"/>
        <item x="83"/>
        <item x="84"/>
        <item x="25"/>
        <item x="75"/>
        <item x="96"/>
        <item x="144"/>
        <item x="70"/>
        <item x="145"/>
        <item x="30"/>
        <item x="100"/>
        <item x="153"/>
        <item x="154"/>
        <item x="98"/>
        <item x="132"/>
        <item x="113"/>
        <item x="137"/>
        <item x="111"/>
        <item x="28"/>
        <item x="64"/>
        <item x="27"/>
        <item x="9"/>
        <item x="72"/>
        <item x="20"/>
        <item x="17"/>
        <item x="63"/>
        <item x="61"/>
        <item x="80"/>
        <item x="24"/>
        <item x="143"/>
        <item x="141"/>
        <item x="151"/>
        <item x="40"/>
        <item x="39"/>
        <item x="135"/>
        <item x="110"/>
        <item x="77"/>
        <item x="46"/>
        <item x="44"/>
        <item x="69"/>
        <item x="26"/>
        <item x="102"/>
        <item x="106"/>
        <item x="68"/>
        <item x="8"/>
        <item x="103"/>
        <item x="127"/>
        <item x="115"/>
        <item x="6"/>
        <item x="79"/>
        <item x="149"/>
        <item x="147"/>
        <item x="16"/>
        <item x="78"/>
        <item x="101"/>
        <item x="146"/>
        <item x="97"/>
        <item x="11"/>
        <item x="10"/>
        <item x="131"/>
        <item x="95"/>
        <item x="15"/>
        <item x="59"/>
        <item x="58"/>
        <item x="21"/>
        <item x="71"/>
        <item x="5"/>
        <item x="114"/>
        <item x="14"/>
        <item x="13"/>
        <item x="67"/>
        <item x="4"/>
        <item x="3"/>
        <item x="108"/>
        <item x="57"/>
        <item x="105"/>
        <item x="19"/>
        <item x="18"/>
        <item x="2"/>
        <item x="1"/>
        <item x="94"/>
        <item x="93"/>
        <item x="92"/>
        <item x="56"/>
        <item x="0"/>
        <item x="164"/>
        <item t="default"/>
      </items>
    </pivotField>
    <pivotField dataField="1" showAll="0"/>
    <pivotField dataField="1" showAll="0"/>
  </pivotFields>
  <rowFields count="1">
    <field x="5"/>
  </rowFields>
  <rowItems count="3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hier="-1"/>
  </pageFields>
  <dataFields count="4">
    <dataField name="Soma de Classificação" fld="2" baseField="0" baseItem="0"/>
    <dataField name="Soma de Receita Mês (R$)" fld="6" baseField="0" baseItem="0"/>
    <dataField name="Soma de Receita Ano (R$)" fld="7" baseField="0" baseItem="0"/>
    <dataField name="Soma de Receita Orçada (R$)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ABC6B7-24F6-4194-900D-5B16304DC18C}" name="TabReceita" displayName="TabReceita" ref="A1:I409" totalsRowShown="0" headerRowDxfId="12" headerRowBorderDxfId="11" tableBorderDxfId="10" totalsRowBorderDxfId="9">
  <autoFilter ref="A1:I409" xr:uid="{505DC3E4-B386-46D4-8662-120E47D90ED8}"/>
  <tableColumns count="9">
    <tableColumn id="1" xr3:uid="{4D82D312-3493-4FCC-B38A-5B8C9320215E}" name="Ano" dataDxfId="8"/>
    <tableColumn id="2" xr3:uid="{1240010A-69CB-4758-80CC-9C3DE763ABD3}" name="Mês" dataDxfId="7"/>
    <tableColumn id="3" xr3:uid="{6A89C53D-11AF-4768-BF8C-314EF013DD98}" name="Classificação" dataDxfId="6"/>
    <tableColumn id="4" xr3:uid="{6FF18735-F286-4586-B80E-6AF61F51A0A8}" name="Fonte" dataDxfId="5"/>
    <tableColumn id="5" xr3:uid="{13D80A55-7894-4CF8-9AB3-D108F250A82F}" name="Rubrica" dataDxfId="4"/>
    <tableColumn id="6" xr3:uid="{A7AE83BF-CB95-44E4-A097-5F7E5871EB3A}" name="Receita" dataDxfId="3"/>
    <tableColumn id="7" xr3:uid="{F9538E24-A2C4-4EE0-8F82-4CC2B2274CC1}" name="Receita Mês (R$)" dataDxfId="2"/>
    <tableColumn id="8" xr3:uid="{3E9B3A00-B3CF-4624-8D15-60AB5A96DD56}" name="Receita Ano (R$)" dataDxfId="1"/>
    <tableColumn id="9" xr3:uid="{DEA3BAEB-8177-441C-ACCD-0F3D422B7D88}" name="Receita Orçada (R$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I409"/>
  <sheetViews>
    <sheetView tabSelected="1" workbookViewId="0">
      <selection activeCell="F6" sqref="F6"/>
    </sheetView>
  </sheetViews>
  <sheetFormatPr defaultRowHeight="15" x14ac:dyDescent="0.25"/>
  <cols>
    <col min="1" max="1" width="7.7109375" style="5" customWidth="1"/>
    <col min="2" max="2" width="8.140625" style="5" customWidth="1"/>
    <col min="3" max="3" width="17.42578125" style="5" customWidth="1"/>
    <col min="4" max="4" width="9.7109375" style="5" customWidth="1"/>
    <col min="5" max="5" width="11.7109375" style="5" customWidth="1"/>
    <col min="6" max="6" width="159.7109375" style="5" bestFit="1" customWidth="1"/>
    <col min="7" max="7" width="22.5703125" style="5" customWidth="1"/>
    <col min="8" max="8" width="22.140625" style="5" customWidth="1"/>
    <col min="9" max="9" width="25.5703125" style="5" customWidth="1"/>
  </cols>
  <sheetData>
    <row r="1" spans="1:9" ht="18.75" x14ac:dyDescent="0.3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4" t="s">
        <v>8</v>
      </c>
    </row>
    <row r="2" spans="1:9" x14ac:dyDescent="0.25">
      <c r="A2" s="9">
        <v>2023</v>
      </c>
      <c r="B2" s="3">
        <v>8</v>
      </c>
      <c r="C2" s="3">
        <v>10000000000</v>
      </c>
      <c r="D2" s="3"/>
      <c r="E2" s="3"/>
      <c r="F2" s="3" t="s">
        <v>9</v>
      </c>
      <c r="G2" s="4">
        <v>297149744.13</v>
      </c>
      <c r="H2" s="4">
        <v>2628043889.5</v>
      </c>
      <c r="I2" s="10">
        <v>3826715000</v>
      </c>
    </row>
    <row r="3" spans="1:9" x14ac:dyDescent="0.25">
      <c r="A3" s="9">
        <v>2023</v>
      </c>
      <c r="B3" s="3">
        <v>8</v>
      </c>
      <c r="C3" s="3">
        <v>11000000000</v>
      </c>
      <c r="D3" s="3"/>
      <c r="E3" s="3"/>
      <c r="F3" s="3" t="s">
        <v>10</v>
      </c>
      <c r="G3" s="4">
        <v>92117774.760000005</v>
      </c>
      <c r="H3" s="4">
        <v>849204675.22000003</v>
      </c>
      <c r="I3" s="10">
        <v>1166694000</v>
      </c>
    </row>
    <row r="4" spans="1:9" x14ac:dyDescent="0.25">
      <c r="A4" s="9">
        <v>2023</v>
      </c>
      <c r="B4" s="3">
        <v>8</v>
      </c>
      <c r="C4" s="3">
        <v>11100000000</v>
      </c>
      <c r="D4" s="3"/>
      <c r="E4" s="3"/>
      <c r="F4" s="3" t="s">
        <v>11</v>
      </c>
      <c r="G4" s="4">
        <v>89737005.200000003</v>
      </c>
      <c r="H4" s="4">
        <v>816116208.25999999</v>
      </c>
      <c r="I4" s="10">
        <v>1126521000</v>
      </c>
    </row>
    <row r="5" spans="1:9" x14ac:dyDescent="0.25">
      <c r="A5" s="9">
        <v>2023</v>
      </c>
      <c r="B5" s="3">
        <v>8</v>
      </c>
      <c r="C5" s="3">
        <v>11120000000</v>
      </c>
      <c r="D5" s="3"/>
      <c r="E5" s="3"/>
      <c r="F5" s="3" t="s">
        <v>12</v>
      </c>
      <c r="G5" s="4">
        <v>26242490.23</v>
      </c>
      <c r="H5" s="4">
        <v>350695005.37</v>
      </c>
      <c r="I5" s="10">
        <v>479469000</v>
      </c>
    </row>
    <row r="6" spans="1:9" x14ac:dyDescent="0.25">
      <c r="A6" s="9">
        <v>2023</v>
      </c>
      <c r="B6" s="3">
        <v>8</v>
      </c>
      <c r="C6" s="3">
        <v>11125000000</v>
      </c>
      <c r="D6" s="3"/>
      <c r="E6" s="3"/>
      <c r="F6" s="3" t="s">
        <v>13</v>
      </c>
      <c r="G6" s="4">
        <v>19065435.66</v>
      </c>
      <c r="H6" s="4">
        <v>296411053.32999998</v>
      </c>
      <c r="I6" s="10">
        <v>387388000</v>
      </c>
    </row>
    <row r="7" spans="1:9" x14ac:dyDescent="0.25">
      <c r="A7" s="9">
        <v>2023</v>
      </c>
      <c r="B7" s="3">
        <v>8</v>
      </c>
      <c r="C7" s="3">
        <v>11125001001</v>
      </c>
      <c r="D7" s="3">
        <v>1</v>
      </c>
      <c r="E7" s="3">
        <v>19</v>
      </c>
      <c r="F7" s="3" t="s">
        <v>14</v>
      </c>
      <c r="G7" s="4">
        <v>10943860.949999999</v>
      </c>
      <c r="H7" s="4">
        <v>193338512.18000001</v>
      </c>
      <c r="I7" s="10">
        <v>238207000</v>
      </c>
    </row>
    <row r="8" spans="1:9" x14ac:dyDescent="0.25">
      <c r="A8" s="9">
        <v>2023</v>
      </c>
      <c r="B8" s="3">
        <v>8</v>
      </c>
      <c r="C8" s="3">
        <v>11125001002</v>
      </c>
      <c r="D8" s="3">
        <v>1</v>
      </c>
      <c r="E8" s="3">
        <v>27</v>
      </c>
      <c r="F8" s="3" t="s">
        <v>15</v>
      </c>
      <c r="G8" s="4">
        <v>4098050.24</v>
      </c>
      <c r="H8" s="4">
        <v>66841003.670000002</v>
      </c>
      <c r="I8" s="10">
        <v>86656000</v>
      </c>
    </row>
    <row r="9" spans="1:9" x14ac:dyDescent="0.25">
      <c r="A9" s="9">
        <v>2023</v>
      </c>
      <c r="B9" s="3">
        <v>8</v>
      </c>
      <c r="C9" s="3">
        <v>11125002001</v>
      </c>
      <c r="D9" s="3">
        <v>1</v>
      </c>
      <c r="E9" s="3">
        <v>1620</v>
      </c>
      <c r="F9" s="3" t="s">
        <v>16</v>
      </c>
      <c r="G9" s="4">
        <v>139745.70000000001</v>
      </c>
      <c r="H9" s="4">
        <v>1658642.32</v>
      </c>
      <c r="I9" s="10">
        <v>1502000</v>
      </c>
    </row>
    <row r="10" spans="1:9" x14ac:dyDescent="0.25">
      <c r="A10" s="9">
        <v>2023</v>
      </c>
      <c r="B10" s="3">
        <v>8</v>
      </c>
      <c r="C10" s="3">
        <v>11125003001</v>
      </c>
      <c r="D10" s="3">
        <v>1</v>
      </c>
      <c r="E10" s="3">
        <v>2410</v>
      </c>
      <c r="F10" s="3" t="s">
        <v>17</v>
      </c>
      <c r="G10" s="4">
        <v>2988908.37</v>
      </c>
      <c r="H10" s="4">
        <v>27175906.399999999</v>
      </c>
      <c r="I10" s="10">
        <v>47957000</v>
      </c>
    </row>
    <row r="11" spans="1:9" x14ac:dyDescent="0.25">
      <c r="A11" s="9">
        <v>2023</v>
      </c>
      <c r="B11" s="3">
        <v>8</v>
      </c>
      <c r="C11" s="3">
        <v>11125004001</v>
      </c>
      <c r="D11" s="3">
        <v>1</v>
      </c>
      <c r="E11" s="3">
        <v>1670</v>
      </c>
      <c r="F11" s="3" t="s">
        <v>18</v>
      </c>
      <c r="G11" s="4">
        <v>894870.4</v>
      </c>
      <c r="H11" s="4">
        <v>7396988.7599999998</v>
      </c>
      <c r="I11" s="10">
        <v>13066000</v>
      </c>
    </row>
    <row r="12" spans="1:9" x14ac:dyDescent="0.25">
      <c r="A12" s="9">
        <v>2023</v>
      </c>
      <c r="B12" s="3">
        <v>8</v>
      </c>
      <c r="C12" s="3">
        <v>11125300000</v>
      </c>
      <c r="D12" s="3"/>
      <c r="E12" s="3"/>
      <c r="F12" s="3" t="s">
        <v>19</v>
      </c>
      <c r="G12" s="4">
        <v>7177054.5700000003</v>
      </c>
      <c r="H12" s="4">
        <v>54283952.039999999</v>
      </c>
      <c r="I12" s="10">
        <v>92081000</v>
      </c>
    </row>
    <row r="13" spans="1:9" x14ac:dyDescent="0.25">
      <c r="A13" s="9">
        <v>2023</v>
      </c>
      <c r="B13" s="3">
        <v>8</v>
      </c>
      <c r="C13" s="3">
        <v>11125301001</v>
      </c>
      <c r="D13" s="3">
        <v>1</v>
      </c>
      <c r="E13" s="3">
        <v>248</v>
      </c>
      <c r="F13" s="3" t="s">
        <v>20</v>
      </c>
      <c r="G13" s="4">
        <v>7163426.3600000003</v>
      </c>
      <c r="H13" s="4">
        <v>54225135.409999996</v>
      </c>
      <c r="I13" s="10">
        <v>91900000</v>
      </c>
    </row>
    <row r="14" spans="1:9" x14ac:dyDescent="0.25">
      <c r="A14" s="9">
        <v>2023</v>
      </c>
      <c r="B14" s="3">
        <v>8</v>
      </c>
      <c r="C14" s="3">
        <v>11125302001</v>
      </c>
      <c r="D14" s="3">
        <v>1</v>
      </c>
      <c r="E14" s="3">
        <v>1650</v>
      </c>
      <c r="F14" s="3" t="s">
        <v>21</v>
      </c>
      <c r="G14" s="4">
        <v>13628.21</v>
      </c>
      <c r="H14" s="4">
        <v>58816.63</v>
      </c>
      <c r="I14" s="10">
        <v>181000</v>
      </c>
    </row>
    <row r="15" spans="1:9" x14ac:dyDescent="0.25">
      <c r="A15" s="9">
        <v>2023</v>
      </c>
      <c r="B15" s="3">
        <v>8</v>
      </c>
      <c r="C15" s="3">
        <v>11130000000</v>
      </c>
      <c r="D15" s="3"/>
      <c r="E15" s="3"/>
      <c r="F15" s="3" t="s">
        <v>22</v>
      </c>
      <c r="G15" s="4">
        <v>14702109.85</v>
      </c>
      <c r="H15" s="4">
        <v>111220744.45999999</v>
      </c>
      <c r="I15" s="10">
        <v>170382000</v>
      </c>
    </row>
    <row r="16" spans="1:9" x14ac:dyDescent="0.25">
      <c r="A16" s="9">
        <v>2023</v>
      </c>
      <c r="B16" s="3">
        <v>8</v>
      </c>
      <c r="C16" s="3">
        <v>11130300000</v>
      </c>
      <c r="D16" s="3"/>
      <c r="E16" s="3"/>
      <c r="F16" s="3" t="s">
        <v>23</v>
      </c>
      <c r="G16" s="4">
        <v>14702109.85</v>
      </c>
      <c r="H16" s="4">
        <v>111220744.45999999</v>
      </c>
      <c r="I16" s="10">
        <v>170382000</v>
      </c>
    </row>
    <row r="17" spans="1:9" x14ac:dyDescent="0.25">
      <c r="A17" s="9">
        <v>2023</v>
      </c>
      <c r="B17" s="3">
        <v>8</v>
      </c>
      <c r="C17" s="3">
        <v>11130310000</v>
      </c>
      <c r="D17" s="3"/>
      <c r="E17" s="3"/>
      <c r="F17" s="3" t="s">
        <v>24</v>
      </c>
      <c r="G17" s="4">
        <v>13652225.460000001</v>
      </c>
      <c r="H17" s="4">
        <v>110170860.06999999</v>
      </c>
      <c r="I17" s="10">
        <v>170382000</v>
      </c>
    </row>
    <row r="18" spans="1:9" x14ac:dyDescent="0.25">
      <c r="A18" s="9">
        <v>2023</v>
      </c>
      <c r="B18" s="3">
        <v>8</v>
      </c>
      <c r="C18" s="3">
        <v>11130311001</v>
      </c>
      <c r="D18" s="3">
        <v>1</v>
      </c>
      <c r="E18" s="3">
        <v>1141</v>
      </c>
      <c r="F18" s="3" t="s">
        <v>25</v>
      </c>
      <c r="G18" s="4">
        <v>7999771.5300000003</v>
      </c>
      <c r="H18" s="4">
        <v>65795475.82</v>
      </c>
      <c r="I18" s="10">
        <v>170382000</v>
      </c>
    </row>
    <row r="19" spans="1:9" x14ac:dyDescent="0.25">
      <c r="A19" s="9">
        <v>2023</v>
      </c>
      <c r="B19" s="3">
        <v>8</v>
      </c>
      <c r="C19" s="3">
        <v>11130311002</v>
      </c>
      <c r="D19" s="3">
        <v>1</v>
      </c>
      <c r="E19" s="3">
        <v>2016</v>
      </c>
      <c r="F19" s="3" t="s">
        <v>26</v>
      </c>
      <c r="G19" s="4">
        <v>5652453.9299999997</v>
      </c>
      <c r="H19" s="4">
        <v>44375384.25</v>
      </c>
      <c r="I19" s="11">
        <v>0</v>
      </c>
    </row>
    <row r="20" spans="1:9" x14ac:dyDescent="0.25">
      <c r="A20" s="9">
        <v>2023</v>
      </c>
      <c r="B20" s="3">
        <v>8</v>
      </c>
      <c r="C20" s="3">
        <v>11130340000</v>
      </c>
      <c r="D20" s="3"/>
      <c r="E20" s="3"/>
      <c r="F20" s="3" t="s">
        <v>27</v>
      </c>
      <c r="G20" s="4">
        <v>1049884.3899999999</v>
      </c>
      <c r="H20" s="4">
        <v>1049884.3899999999</v>
      </c>
      <c r="I20" s="11">
        <v>0</v>
      </c>
    </row>
    <row r="21" spans="1:9" x14ac:dyDescent="0.25">
      <c r="A21" s="9">
        <v>2023</v>
      </c>
      <c r="B21" s="3">
        <v>8</v>
      </c>
      <c r="C21" s="3">
        <v>11130341001</v>
      </c>
      <c r="D21" s="3">
        <v>1</v>
      </c>
      <c r="E21" s="3">
        <v>2018</v>
      </c>
      <c r="F21" s="3" t="s">
        <v>28</v>
      </c>
      <c r="G21" s="4">
        <v>1049884.3899999999</v>
      </c>
      <c r="H21" s="4">
        <v>1049884.3899999999</v>
      </c>
      <c r="I21" s="11">
        <v>0</v>
      </c>
    </row>
    <row r="22" spans="1:9" x14ac:dyDescent="0.25">
      <c r="A22" s="9">
        <v>2023</v>
      </c>
      <c r="B22" s="3">
        <v>8</v>
      </c>
      <c r="C22" s="3">
        <v>11140000000</v>
      </c>
      <c r="D22" s="3"/>
      <c r="E22" s="3"/>
      <c r="F22" s="3" t="s">
        <v>29</v>
      </c>
      <c r="G22" s="4">
        <v>48792405.119999997</v>
      </c>
      <c r="H22" s="4">
        <v>354200458.43000001</v>
      </c>
      <c r="I22" s="10">
        <v>476670000</v>
      </c>
    </row>
    <row r="23" spans="1:9" x14ac:dyDescent="0.25">
      <c r="A23" s="9">
        <v>2023</v>
      </c>
      <c r="B23" s="3">
        <v>8</v>
      </c>
      <c r="C23" s="3">
        <v>11145100000</v>
      </c>
      <c r="D23" s="3"/>
      <c r="E23" s="3"/>
      <c r="F23" s="3" t="s">
        <v>30</v>
      </c>
      <c r="G23" s="4">
        <v>48792405.119999997</v>
      </c>
      <c r="H23" s="4">
        <v>354200458.43000001</v>
      </c>
      <c r="I23" s="10">
        <v>476670000</v>
      </c>
    </row>
    <row r="24" spans="1:9" x14ac:dyDescent="0.25">
      <c r="A24" s="9">
        <v>2023</v>
      </c>
      <c r="B24" s="3">
        <v>8</v>
      </c>
      <c r="C24" s="3">
        <v>11145110000</v>
      </c>
      <c r="D24" s="3"/>
      <c r="E24" s="3"/>
      <c r="F24" s="3" t="s">
        <v>31</v>
      </c>
      <c r="G24" s="4">
        <v>48792405.119999997</v>
      </c>
      <c r="H24" s="4">
        <v>354200458.43000001</v>
      </c>
      <c r="I24" s="10">
        <v>476670000</v>
      </c>
    </row>
    <row r="25" spans="1:9" x14ac:dyDescent="0.25">
      <c r="A25" s="9">
        <v>2023</v>
      </c>
      <c r="B25" s="3">
        <v>8</v>
      </c>
      <c r="C25" s="3">
        <v>11145111001</v>
      </c>
      <c r="D25" s="3">
        <v>1</v>
      </c>
      <c r="E25" s="3">
        <v>35</v>
      </c>
      <c r="F25" s="3" t="s">
        <v>32</v>
      </c>
      <c r="G25" s="4">
        <v>36594229.710000001</v>
      </c>
      <c r="H25" s="4">
        <v>266578209.56</v>
      </c>
      <c r="I25" s="10">
        <v>346791000</v>
      </c>
    </row>
    <row r="26" spans="1:9" x14ac:dyDescent="0.25">
      <c r="A26" s="9">
        <v>2023</v>
      </c>
      <c r="B26" s="3">
        <v>8</v>
      </c>
      <c r="C26" s="3">
        <v>11145111002</v>
      </c>
      <c r="D26" s="3">
        <v>1</v>
      </c>
      <c r="E26" s="3">
        <v>221</v>
      </c>
      <c r="F26" s="3" t="s">
        <v>33</v>
      </c>
      <c r="G26" s="4">
        <v>980977.23</v>
      </c>
      <c r="H26" s="4">
        <v>5622500.25</v>
      </c>
      <c r="I26" s="10">
        <v>10748000</v>
      </c>
    </row>
    <row r="27" spans="1:9" x14ac:dyDescent="0.25">
      <c r="A27" s="9">
        <v>2023</v>
      </c>
      <c r="B27" s="3">
        <v>8</v>
      </c>
      <c r="C27" s="3">
        <v>11145111003</v>
      </c>
      <c r="D27" s="3">
        <v>1</v>
      </c>
      <c r="E27" s="3">
        <v>222</v>
      </c>
      <c r="F27" s="3" t="s">
        <v>34</v>
      </c>
      <c r="G27" s="4">
        <v>9272046.1300000008</v>
      </c>
      <c r="H27" s="4">
        <v>68212000.319999993</v>
      </c>
      <c r="I27" s="10">
        <v>95459000</v>
      </c>
    </row>
    <row r="28" spans="1:9" x14ac:dyDescent="0.25">
      <c r="A28" s="9">
        <v>2023</v>
      </c>
      <c r="B28" s="3">
        <v>8</v>
      </c>
      <c r="C28" s="3">
        <v>11145111004</v>
      </c>
      <c r="D28" s="3">
        <v>1</v>
      </c>
      <c r="E28" s="3">
        <v>1011</v>
      </c>
      <c r="F28" s="3" t="s">
        <v>35</v>
      </c>
      <c r="G28" s="4">
        <v>279904.46999999997</v>
      </c>
      <c r="H28" s="4">
        <v>1707873.24</v>
      </c>
      <c r="I28" s="10">
        <v>2315000</v>
      </c>
    </row>
    <row r="29" spans="1:9" x14ac:dyDescent="0.25">
      <c r="A29" s="9">
        <v>2023</v>
      </c>
      <c r="B29" s="3">
        <v>8</v>
      </c>
      <c r="C29" s="3">
        <v>11145112001</v>
      </c>
      <c r="D29" s="3">
        <v>1</v>
      </c>
      <c r="E29" s="3">
        <v>1630</v>
      </c>
      <c r="F29" s="3" t="s">
        <v>36</v>
      </c>
      <c r="G29" s="4">
        <v>9361.23</v>
      </c>
      <c r="H29" s="4">
        <v>28140.34</v>
      </c>
      <c r="I29" s="10">
        <v>20000</v>
      </c>
    </row>
    <row r="30" spans="1:9" x14ac:dyDescent="0.25">
      <c r="A30" s="9">
        <v>2023</v>
      </c>
      <c r="B30" s="3">
        <v>8</v>
      </c>
      <c r="C30" s="3">
        <v>11145113001</v>
      </c>
      <c r="D30" s="3">
        <v>1</v>
      </c>
      <c r="E30" s="3">
        <v>2445</v>
      </c>
      <c r="F30" s="3" t="s">
        <v>37</v>
      </c>
      <c r="G30" s="4">
        <v>1184589.8799999999</v>
      </c>
      <c r="H30" s="4">
        <v>9092959.6500000004</v>
      </c>
      <c r="I30" s="10">
        <v>16503000</v>
      </c>
    </row>
    <row r="31" spans="1:9" x14ac:dyDescent="0.25">
      <c r="A31" s="9">
        <v>2023</v>
      </c>
      <c r="B31" s="3">
        <v>8</v>
      </c>
      <c r="C31" s="3">
        <v>11145114001</v>
      </c>
      <c r="D31" s="3">
        <v>1</v>
      </c>
      <c r="E31" s="3">
        <v>1680</v>
      </c>
      <c r="F31" s="3" t="s">
        <v>38</v>
      </c>
      <c r="G31" s="4">
        <v>471296.47</v>
      </c>
      <c r="H31" s="4">
        <v>2958775.07</v>
      </c>
      <c r="I31" s="10">
        <v>4834000</v>
      </c>
    </row>
    <row r="32" spans="1:9" x14ac:dyDescent="0.25">
      <c r="A32" s="9">
        <v>2023</v>
      </c>
      <c r="B32" s="3">
        <v>8</v>
      </c>
      <c r="C32" s="3">
        <v>11200000000</v>
      </c>
      <c r="D32" s="3"/>
      <c r="E32" s="3"/>
      <c r="F32" s="3" t="s">
        <v>39</v>
      </c>
      <c r="G32" s="4">
        <v>2380769.56</v>
      </c>
      <c r="H32" s="4">
        <v>33088466.960000001</v>
      </c>
      <c r="I32" s="10">
        <v>40169000</v>
      </c>
    </row>
    <row r="33" spans="1:9" x14ac:dyDescent="0.25">
      <c r="A33" s="9">
        <v>2023</v>
      </c>
      <c r="B33" s="3">
        <v>8</v>
      </c>
      <c r="C33" s="3">
        <v>11210000000</v>
      </c>
      <c r="D33" s="3"/>
      <c r="E33" s="3"/>
      <c r="F33" s="3" t="s">
        <v>40</v>
      </c>
      <c r="G33" s="4">
        <v>866196.38</v>
      </c>
      <c r="H33" s="4">
        <v>9080285.9499999993</v>
      </c>
      <c r="I33" s="10">
        <v>10023000</v>
      </c>
    </row>
    <row r="34" spans="1:9" x14ac:dyDescent="0.25">
      <c r="A34" s="9">
        <v>2023</v>
      </c>
      <c r="B34" s="3">
        <v>8</v>
      </c>
      <c r="C34" s="3">
        <v>11210100000</v>
      </c>
      <c r="D34" s="3"/>
      <c r="E34" s="3"/>
      <c r="F34" s="3" t="s">
        <v>41</v>
      </c>
      <c r="G34" s="4">
        <v>817790.63</v>
      </c>
      <c r="H34" s="4">
        <v>8671541.8699999992</v>
      </c>
      <c r="I34" s="10">
        <v>9411000</v>
      </c>
    </row>
    <row r="35" spans="1:9" x14ac:dyDescent="0.25">
      <c r="A35" s="9">
        <v>2023</v>
      </c>
      <c r="B35" s="3">
        <v>8</v>
      </c>
      <c r="C35" s="3">
        <v>11210101001</v>
      </c>
      <c r="D35" s="3">
        <v>1</v>
      </c>
      <c r="E35" s="3">
        <v>43</v>
      </c>
      <c r="F35" s="3" t="s">
        <v>42</v>
      </c>
      <c r="G35" s="4">
        <v>35023.35</v>
      </c>
      <c r="H35" s="4">
        <v>238006.17</v>
      </c>
      <c r="I35" s="10">
        <v>299000</v>
      </c>
    </row>
    <row r="36" spans="1:9" x14ac:dyDescent="0.25">
      <c r="A36" s="9">
        <v>2023</v>
      </c>
      <c r="B36" s="3">
        <v>8</v>
      </c>
      <c r="C36" s="3">
        <v>11210101002</v>
      </c>
      <c r="D36" s="3">
        <v>1</v>
      </c>
      <c r="E36" s="3">
        <v>51</v>
      </c>
      <c r="F36" s="3" t="s">
        <v>43</v>
      </c>
      <c r="G36" s="4">
        <v>596556.68000000005</v>
      </c>
      <c r="H36" s="4">
        <v>6997894.1299999999</v>
      </c>
      <c r="I36" s="10">
        <v>6969000</v>
      </c>
    </row>
    <row r="37" spans="1:9" x14ac:dyDescent="0.25">
      <c r="A37" s="9">
        <v>2023</v>
      </c>
      <c r="B37" s="3">
        <v>8</v>
      </c>
      <c r="C37" s="3">
        <v>11210101003</v>
      </c>
      <c r="D37" s="3">
        <v>1</v>
      </c>
      <c r="E37" s="3">
        <v>78</v>
      </c>
      <c r="F37" s="3" t="s">
        <v>44</v>
      </c>
      <c r="G37" s="4">
        <v>3070.48</v>
      </c>
      <c r="H37" s="4">
        <v>30369.02</v>
      </c>
      <c r="I37" s="10">
        <v>30000</v>
      </c>
    </row>
    <row r="38" spans="1:9" x14ac:dyDescent="0.25">
      <c r="A38" s="9">
        <v>2023</v>
      </c>
      <c r="B38" s="3">
        <v>8</v>
      </c>
      <c r="C38" s="3">
        <v>11210101004</v>
      </c>
      <c r="D38" s="3">
        <v>1</v>
      </c>
      <c r="E38" s="3">
        <v>86</v>
      </c>
      <c r="F38" s="3" t="s">
        <v>45</v>
      </c>
      <c r="G38" s="4">
        <v>114791.95</v>
      </c>
      <c r="H38" s="4">
        <v>958047.35</v>
      </c>
      <c r="I38" s="10">
        <v>1412000</v>
      </c>
    </row>
    <row r="39" spans="1:9" x14ac:dyDescent="0.25">
      <c r="A39" s="9">
        <v>2023</v>
      </c>
      <c r="B39" s="3">
        <v>8</v>
      </c>
      <c r="C39" s="3">
        <v>11210101005</v>
      </c>
      <c r="D39" s="3">
        <v>1</v>
      </c>
      <c r="E39" s="3">
        <v>94</v>
      </c>
      <c r="F39" s="3" t="s">
        <v>46</v>
      </c>
      <c r="G39" s="4">
        <v>26085.43</v>
      </c>
      <c r="H39" s="4">
        <v>291112.11</v>
      </c>
      <c r="I39" s="10">
        <v>394000</v>
      </c>
    </row>
    <row r="40" spans="1:9" x14ac:dyDescent="0.25">
      <c r="A40" s="9">
        <v>2023</v>
      </c>
      <c r="B40" s="3">
        <v>8</v>
      </c>
      <c r="C40" s="3">
        <v>11210101006</v>
      </c>
      <c r="D40" s="3">
        <v>1</v>
      </c>
      <c r="E40" s="3">
        <v>108</v>
      </c>
      <c r="F40" s="3" t="s">
        <v>47</v>
      </c>
      <c r="G40" s="4">
        <v>18163.03</v>
      </c>
      <c r="H40" s="4">
        <v>83913.01</v>
      </c>
      <c r="I40" s="10">
        <v>82000</v>
      </c>
    </row>
    <row r="41" spans="1:9" x14ac:dyDescent="0.25">
      <c r="A41" s="9">
        <v>2023</v>
      </c>
      <c r="B41" s="3">
        <v>8</v>
      </c>
      <c r="C41" s="3">
        <v>11210101007</v>
      </c>
      <c r="D41" s="3">
        <v>1</v>
      </c>
      <c r="E41" s="3">
        <v>120</v>
      </c>
      <c r="F41" s="3" t="s">
        <v>48</v>
      </c>
      <c r="G41" s="3">
        <v>2.1800000000000002</v>
      </c>
      <c r="H41" s="3">
        <v>15.26</v>
      </c>
      <c r="I41" s="10">
        <v>116000</v>
      </c>
    </row>
    <row r="42" spans="1:9" x14ac:dyDescent="0.25">
      <c r="A42" s="9">
        <v>2023</v>
      </c>
      <c r="B42" s="3">
        <v>8</v>
      </c>
      <c r="C42" s="3">
        <v>11210101008</v>
      </c>
      <c r="D42" s="3">
        <v>1</v>
      </c>
      <c r="E42" s="3">
        <v>350</v>
      </c>
      <c r="F42" s="3" t="s">
        <v>49</v>
      </c>
      <c r="G42" s="3">
        <v>0</v>
      </c>
      <c r="H42" s="4">
        <v>4000</v>
      </c>
      <c r="I42" s="10">
        <v>20000</v>
      </c>
    </row>
    <row r="43" spans="1:9" x14ac:dyDescent="0.25">
      <c r="A43" s="9">
        <v>2023</v>
      </c>
      <c r="B43" s="3">
        <v>8</v>
      </c>
      <c r="C43" s="3">
        <v>11210102001</v>
      </c>
      <c r="D43" s="3">
        <v>1</v>
      </c>
      <c r="E43" s="3">
        <v>1660</v>
      </c>
      <c r="F43" s="3" t="s">
        <v>50</v>
      </c>
      <c r="G43" s="4">
        <v>24097.53</v>
      </c>
      <c r="H43" s="4">
        <v>68184.820000000007</v>
      </c>
      <c r="I43" s="10">
        <v>89000</v>
      </c>
    </row>
    <row r="44" spans="1:9" x14ac:dyDescent="0.25">
      <c r="A44" s="9">
        <v>2023</v>
      </c>
      <c r="B44" s="3">
        <v>8</v>
      </c>
      <c r="C44" s="3">
        <v>11215000000</v>
      </c>
      <c r="D44" s="3"/>
      <c r="E44" s="3"/>
      <c r="F44" s="3" t="s">
        <v>51</v>
      </c>
      <c r="G44" s="4">
        <v>48405.75</v>
      </c>
      <c r="H44" s="4">
        <v>408744.08</v>
      </c>
      <c r="I44" s="10">
        <v>612000</v>
      </c>
    </row>
    <row r="45" spans="1:9" x14ac:dyDescent="0.25">
      <c r="A45" s="9">
        <v>2023</v>
      </c>
      <c r="B45" s="3">
        <v>8</v>
      </c>
      <c r="C45" s="3">
        <v>11215001001</v>
      </c>
      <c r="D45" s="3">
        <v>6</v>
      </c>
      <c r="E45" s="3">
        <v>330</v>
      </c>
      <c r="F45" s="3" t="s">
        <v>52</v>
      </c>
      <c r="G45" s="4">
        <v>48405.75</v>
      </c>
      <c r="H45" s="4">
        <v>408744.08</v>
      </c>
      <c r="I45" s="10">
        <v>612000</v>
      </c>
    </row>
    <row r="46" spans="1:9" x14ac:dyDescent="0.25">
      <c r="A46" s="9">
        <v>2023</v>
      </c>
      <c r="B46" s="3">
        <v>8</v>
      </c>
      <c r="C46" s="3">
        <v>11220000000</v>
      </c>
      <c r="D46" s="3"/>
      <c r="E46" s="3"/>
      <c r="F46" s="3" t="s">
        <v>53</v>
      </c>
      <c r="G46" s="4">
        <v>1514573.18</v>
      </c>
      <c r="H46" s="4">
        <v>24008181.010000002</v>
      </c>
      <c r="I46" s="10">
        <v>30146000</v>
      </c>
    </row>
    <row r="47" spans="1:9" x14ac:dyDescent="0.25">
      <c r="A47" s="9">
        <v>2023</v>
      </c>
      <c r="B47" s="3">
        <v>8</v>
      </c>
      <c r="C47" s="3">
        <v>11220100000</v>
      </c>
      <c r="D47" s="3"/>
      <c r="E47" s="3"/>
      <c r="F47" s="3" t="s">
        <v>53</v>
      </c>
      <c r="G47" s="4">
        <v>1514573.18</v>
      </c>
      <c r="H47" s="4">
        <v>24008181.010000002</v>
      </c>
      <c r="I47" s="10">
        <v>30146000</v>
      </c>
    </row>
    <row r="48" spans="1:9" x14ac:dyDescent="0.25">
      <c r="A48" s="9">
        <v>2023</v>
      </c>
      <c r="B48" s="3">
        <v>8</v>
      </c>
      <c r="C48" s="3">
        <v>11220101001</v>
      </c>
      <c r="D48" s="3">
        <v>1</v>
      </c>
      <c r="E48" s="3">
        <v>140</v>
      </c>
      <c r="F48" s="3" t="s">
        <v>54</v>
      </c>
      <c r="G48" s="4">
        <v>1512165.33</v>
      </c>
      <c r="H48" s="4">
        <v>24000121.280000001</v>
      </c>
      <c r="I48" s="10">
        <v>30109000</v>
      </c>
    </row>
    <row r="49" spans="1:9" x14ac:dyDescent="0.25">
      <c r="A49" s="9">
        <v>2023</v>
      </c>
      <c r="B49" s="3">
        <v>8</v>
      </c>
      <c r="C49" s="3">
        <v>11220101002</v>
      </c>
      <c r="D49" s="3">
        <v>1</v>
      </c>
      <c r="E49" s="3">
        <v>116</v>
      </c>
      <c r="F49" s="3" t="s">
        <v>55</v>
      </c>
      <c r="G49" s="4">
        <v>1685.7</v>
      </c>
      <c r="H49" s="4">
        <v>2319.9</v>
      </c>
      <c r="I49" s="10">
        <v>3000</v>
      </c>
    </row>
    <row r="50" spans="1:9" x14ac:dyDescent="0.25">
      <c r="A50" s="9">
        <v>2023</v>
      </c>
      <c r="B50" s="3">
        <v>8</v>
      </c>
      <c r="C50" s="3">
        <v>11220101003</v>
      </c>
      <c r="D50" s="3">
        <v>1</v>
      </c>
      <c r="E50" s="3">
        <v>175</v>
      </c>
      <c r="F50" s="3" t="s">
        <v>56</v>
      </c>
      <c r="G50" s="3">
        <v>36.950000000000003</v>
      </c>
      <c r="H50" s="3">
        <v>943.43</v>
      </c>
      <c r="I50" s="10">
        <v>23000</v>
      </c>
    </row>
    <row r="51" spans="1:9" x14ac:dyDescent="0.25">
      <c r="A51" s="9">
        <v>2023</v>
      </c>
      <c r="B51" s="3">
        <v>8</v>
      </c>
      <c r="C51" s="3">
        <v>11220101004</v>
      </c>
      <c r="D51" s="3">
        <v>6</v>
      </c>
      <c r="E51" s="3">
        <v>2607</v>
      </c>
      <c r="F51" s="3" t="s">
        <v>57</v>
      </c>
      <c r="G51" s="3">
        <v>685.2</v>
      </c>
      <c r="H51" s="4">
        <v>4796.3999999999996</v>
      </c>
      <c r="I51" s="10">
        <v>11000</v>
      </c>
    </row>
    <row r="52" spans="1:9" x14ac:dyDescent="0.25">
      <c r="A52" s="9">
        <v>2023</v>
      </c>
      <c r="B52" s="3">
        <v>8</v>
      </c>
      <c r="C52" s="3">
        <v>11300000000</v>
      </c>
      <c r="D52" s="3"/>
      <c r="E52" s="3"/>
      <c r="F52" s="3" t="s">
        <v>58</v>
      </c>
      <c r="G52" s="3">
        <v>0</v>
      </c>
      <c r="H52" s="3">
        <v>0</v>
      </c>
      <c r="I52" s="10">
        <v>4000</v>
      </c>
    </row>
    <row r="53" spans="1:9" x14ac:dyDescent="0.25">
      <c r="A53" s="9">
        <v>2023</v>
      </c>
      <c r="B53" s="3">
        <v>8</v>
      </c>
      <c r="C53" s="3">
        <v>11310000000</v>
      </c>
      <c r="D53" s="3"/>
      <c r="E53" s="3"/>
      <c r="F53" s="3" t="s">
        <v>58</v>
      </c>
      <c r="G53" s="3">
        <v>0</v>
      </c>
      <c r="H53" s="3">
        <v>0</v>
      </c>
      <c r="I53" s="10">
        <v>4000</v>
      </c>
    </row>
    <row r="54" spans="1:9" x14ac:dyDescent="0.25">
      <c r="A54" s="9">
        <v>2023</v>
      </c>
      <c r="B54" s="3">
        <v>8</v>
      </c>
      <c r="C54" s="3">
        <v>11315300000</v>
      </c>
      <c r="D54" s="3"/>
      <c r="E54" s="3"/>
      <c r="F54" s="3" t="s">
        <v>59</v>
      </c>
      <c r="G54" s="3">
        <v>0</v>
      </c>
      <c r="H54" s="3">
        <v>0</v>
      </c>
      <c r="I54" s="10">
        <v>4000</v>
      </c>
    </row>
    <row r="55" spans="1:9" x14ac:dyDescent="0.25">
      <c r="A55" s="9">
        <v>2023</v>
      </c>
      <c r="B55" s="3">
        <v>8</v>
      </c>
      <c r="C55" s="3">
        <v>11315301001</v>
      </c>
      <c r="D55" s="3">
        <v>1</v>
      </c>
      <c r="E55" s="3">
        <v>205</v>
      </c>
      <c r="F55" s="3" t="s">
        <v>60</v>
      </c>
      <c r="G55" s="3">
        <v>0</v>
      </c>
      <c r="H55" s="3">
        <v>0</v>
      </c>
      <c r="I55" s="10">
        <v>3000</v>
      </c>
    </row>
    <row r="56" spans="1:9" x14ac:dyDescent="0.25">
      <c r="A56" s="9">
        <v>2023</v>
      </c>
      <c r="B56" s="3">
        <v>8</v>
      </c>
      <c r="C56" s="3">
        <v>11315302001</v>
      </c>
      <c r="D56" s="3">
        <v>1</v>
      </c>
      <c r="E56" s="3">
        <v>1640</v>
      </c>
      <c r="F56" s="3" t="s">
        <v>61</v>
      </c>
      <c r="G56" s="3">
        <v>0</v>
      </c>
      <c r="H56" s="3">
        <v>0</v>
      </c>
      <c r="I56" s="10">
        <v>1000</v>
      </c>
    </row>
    <row r="57" spans="1:9" x14ac:dyDescent="0.25">
      <c r="A57" s="9">
        <v>2023</v>
      </c>
      <c r="B57" s="3">
        <v>8</v>
      </c>
      <c r="C57" s="3">
        <v>12000000000</v>
      </c>
      <c r="D57" s="3"/>
      <c r="E57" s="3"/>
      <c r="F57" s="3" t="s">
        <v>62</v>
      </c>
      <c r="G57" s="4">
        <v>2331242.9500000002</v>
      </c>
      <c r="H57" s="4">
        <v>20450049.27</v>
      </c>
      <c r="I57" s="10">
        <v>30084000</v>
      </c>
    </row>
    <row r="58" spans="1:9" x14ac:dyDescent="0.25">
      <c r="A58" s="9">
        <v>2023</v>
      </c>
      <c r="B58" s="3">
        <v>8</v>
      </c>
      <c r="C58" s="3">
        <v>12400000000</v>
      </c>
      <c r="D58" s="3"/>
      <c r="E58" s="3"/>
      <c r="F58" s="3" t="s">
        <v>63</v>
      </c>
      <c r="G58" s="4">
        <v>2331242.9500000002</v>
      </c>
      <c r="H58" s="4">
        <v>20450049.27</v>
      </c>
      <c r="I58" s="10">
        <v>30084000</v>
      </c>
    </row>
    <row r="59" spans="1:9" x14ac:dyDescent="0.25">
      <c r="A59" s="9">
        <v>2023</v>
      </c>
      <c r="B59" s="3">
        <v>8</v>
      </c>
      <c r="C59" s="3">
        <v>12410000000</v>
      </c>
      <c r="D59" s="3"/>
      <c r="E59" s="3"/>
      <c r="F59" s="3" t="s">
        <v>63</v>
      </c>
      <c r="G59" s="4">
        <v>2331242.9500000002</v>
      </c>
      <c r="H59" s="4">
        <v>20450049.27</v>
      </c>
      <c r="I59" s="10">
        <v>30084000</v>
      </c>
    </row>
    <row r="60" spans="1:9" x14ac:dyDescent="0.25">
      <c r="A60" s="9">
        <v>2023</v>
      </c>
      <c r="B60" s="3">
        <v>8</v>
      </c>
      <c r="C60" s="3">
        <v>12415000000</v>
      </c>
      <c r="D60" s="3"/>
      <c r="E60" s="3"/>
      <c r="F60" s="3" t="s">
        <v>63</v>
      </c>
      <c r="G60" s="4">
        <v>2331242.9500000002</v>
      </c>
      <c r="H60" s="4">
        <v>20450049.27</v>
      </c>
      <c r="I60" s="10">
        <v>30084000</v>
      </c>
    </row>
    <row r="61" spans="1:9" x14ac:dyDescent="0.25">
      <c r="A61" s="9">
        <v>2023</v>
      </c>
      <c r="B61" s="3">
        <v>8</v>
      </c>
      <c r="C61" s="3">
        <v>12415001001</v>
      </c>
      <c r="D61" s="3">
        <v>3</v>
      </c>
      <c r="E61" s="3">
        <v>2997</v>
      </c>
      <c r="F61" s="3" t="s">
        <v>64</v>
      </c>
      <c r="G61" s="4">
        <v>225494.84</v>
      </c>
      <c r="H61" s="4">
        <v>2671002.2400000002</v>
      </c>
      <c r="I61" s="10">
        <v>3317000</v>
      </c>
    </row>
    <row r="62" spans="1:9" x14ac:dyDescent="0.25">
      <c r="A62" s="9">
        <v>2023</v>
      </c>
      <c r="B62" s="3">
        <v>8</v>
      </c>
      <c r="C62" s="3">
        <v>12415001002</v>
      </c>
      <c r="D62" s="3">
        <v>3</v>
      </c>
      <c r="E62" s="3">
        <v>2964</v>
      </c>
      <c r="F62" s="3" t="s">
        <v>65</v>
      </c>
      <c r="G62" s="4">
        <v>2105748.11</v>
      </c>
      <c r="H62" s="4">
        <v>17779047.030000001</v>
      </c>
      <c r="I62" s="10">
        <v>26767000</v>
      </c>
    </row>
    <row r="63" spans="1:9" x14ac:dyDescent="0.25">
      <c r="A63" s="9">
        <v>2023</v>
      </c>
      <c r="B63" s="3">
        <v>8</v>
      </c>
      <c r="C63" s="3">
        <v>13000000000</v>
      </c>
      <c r="D63" s="3"/>
      <c r="E63" s="3"/>
      <c r="F63" s="3" t="s">
        <v>66</v>
      </c>
      <c r="G63" s="4">
        <v>340385.3</v>
      </c>
      <c r="H63" s="4">
        <v>43983639.100000001</v>
      </c>
      <c r="I63" s="10">
        <v>49064000</v>
      </c>
    </row>
    <row r="64" spans="1:9" x14ac:dyDescent="0.25">
      <c r="A64" s="9">
        <v>2023</v>
      </c>
      <c r="B64" s="3">
        <v>8</v>
      </c>
      <c r="C64" s="3">
        <v>13100000000</v>
      </c>
      <c r="D64" s="3"/>
      <c r="E64" s="3"/>
      <c r="F64" s="3" t="s">
        <v>67</v>
      </c>
      <c r="G64" s="4">
        <v>340319.06</v>
      </c>
      <c r="H64" s="4">
        <v>2031550.7</v>
      </c>
      <c r="I64" s="10">
        <v>3022000</v>
      </c>
    </row>
    <row r="65" spans="1:9" x14ac:dyDescent="0.25">
      <c r="A65" s="9">
        <v>2023</v>
      </c>
      <c r="B65" s="3">
        <v>8</v>
      </c>
      <c r="C65" s="3">
        <v>13110000000</v>
      </c>
      <c r="D65" s="3"/>
      <c r="E65" s="3"/>
      <c r="F65" s="3" t="s">
        <v>67</v>
      </c>
      <c r="G65" s="4">
        <v>340319.06</v>
      </c>
      <c r="H65" s="4">
        <v>2031550.7</v>
      </c>
      <c r="I65" s="10">
        <v>3022000</v>
      </c>
    </row>
    <row r="66" spans="1:9" x14ac:dyDescent="0.25">
      <c r="A66" s="9">
        <v>2023</v>
      </c>
      <c r="B66" s="3">
        <v>8</v>
      </c>
      <c r="C66" s="3">
        <v>13110100000</v>
      </c>
      <c r="D66" s="3"/>
      <c r="E66" s="3"/>
      <c r="F66" s="3" t="s">
        <v>68</v>
      </c>
      <c r="G66" s="4">
        <v>216307.7</v>
      </c>
      <c r="H66" s="4">
        <v>1771881.22</v>
      </c>
      <c r="I66" s="10">
        <v>2888000</v>
      </c>
    </row>
    <row r="67" spans="1:9" x14ac:dyDescent="0.25">
      <c r="A67" s="9">
        <v>2023</v>
      </c>
      <c r="B67" s="3">
        <v>8</v>
      </c>
      <c r="C67" s="3">
        <v>13110110000</v>
      </c>
      <c r="D67" s="3"/>
      <c r="E67" s="3"/>
      <c r="F67" s="3" t="s">
        <v>69</v>
      </c>
      <c r="G67" s="4">
        <v>31121.15</v>
      </c>
      <c r="H67" s="4">
        <v>274447.35999999999</v>
      </c>
      <c r="I67" s="10">
        <v>358000</v>
      </c>
    </row>
    <row r="68" spans="1:9" x14ac:dyDescent="0.25">
      <c r="A68" s="9">
        <v>2023</v>
      </c>
      <c r="B68" s="3">
        <v>8</v>
      </c>
      <c r="C68" s="3">
        <v>13110111001</v>
      </c>
      <c r="D68" s="3">
        <v>1</v>
      </c>
      <c r="E68" s="3">
        <v>1040</v>
      </c>
      <c r="F68" s="3" t="s">
        <v>70</v>
      </c>
      <c r="G68" s="4">
        <v>31121.15</v>
      </c>
      <c r="H68" s="4">
        <v>274447.35999999999</v>
      </c>
      <c r="I68" s="10">
        <v>358000</v>
      </c>
    </row>
    <row r="69" spans="1:9" x14ac:dyDescent="0.25">
      <c r="A69" s="9">
        <v>2023</v>
      </c>
      <c r="B69" s="3">
        <v>8</v>
      </c>
      <c r="C69" s="3">
        <v>13110120000</v>
      </c>
      <c r="D69" s="3"/>
      <c r="E69" s="3"/>
      <c r="F69" s="3" t="s">
        <v>71</v>
      </c>
      <c r="G69" s="4">
        <v>185186.55</v>
      </c>
      <c r="H69" s="4">
        <v>1497433.86</v>
      </c>
      <c r="I69" s="10">
        <v>2530000</v>
      </c>
    </row>
    <row r="70" spans="1:9" x14ac:dyDescent="0.25">
      <c r="A70" s="9">
        <v>2023</v>
      </c>
      <c r="B70" s="3">
        <v>8</v>
      </c>
      <c r="C70" s="3">
        <v>13110121001</v>
      </c>
      <c r="D70" s="3">
        <v>1</v>
      </c>
      <c r="E70" s="3">
        <v>1023</v>
      </c>
      <c r="F70" s="3" t="s">
        <v>72</v>
      </c>
      <c r="G70" s="4">
        <v>185186.55</v>
      </c>
      <c r="H70" s="4">
        <v>1497433.86</v>
      </c>
      <c r="I70" s="10">
        <v>2530000</v>
      </c>
    </row>
    <row r="71" spans="1:9" x14ac:dyDescent="0.25">
      <c r="A71" s="9">
        <v>2023</v>
      </c>
      <c r="B71" s="3">
        <v>8</v>
      </c>
      <c r="C71" s="3">
        <v>13110200000</v>
      </c>
      <c r="D71" s="3"/>
      <c r="E71" s="3"/>
      <c r="F71" s="3" t="s">
        <v>73</v>
      </c>
      <c r="G71" s="4">
        <v>124011.36</v>
      </c>
      <c r="H71" s="4">
        <v>259669.48</v>
      </c>
      <c r="I71" s="10">
        <v>134000</v>
      </c>
    </row>
    <row r="72" spans="1:9" x14ac:dyDescent="0.25">
      <c r="A72" s="9">
        <v>2023</v>
      </c>
      <c r="B72" s="3">
        <v>8</v>
      </c>
      <c r="C72" s="3">
        <v>13110201001</v>
      </c>
      <c r="D72" s="3">
        <v>1</v>
      </c>
      <c r="E72" s="3">
        <v>1057</v>
      </c>
      <c r="F72" s="3" t="s">
        <v>74</v>
      </c>
      <c r="G72" s="4">
        <v>3406.83</v>
      </c>
      <c r="H72" s="4">
        <v>12156.22</v>
      </c>
      <c r="I72" s="11">
        <v>0</v>
      </c>
    </row>
    <row r="73" spans="1:9" x14ac:dyDescent="0.25">
      <c r="A73" s="9">
        <v>2023</v>
      </c>
      <c r="B73" s="3">
        <v>8</v>
      </c>
      <c r="C73" s="3">
        <v>13110201004</v>
      </c>
      <c r="D73" s="3">
        <v>1</v>
      </c>
      <c r="E73" s="3">
        <v>2165</v>
      </c>
      <c r="F73" s="3" t="s">
        <v>75</v>
      </c>
      <c r="G73" s="4">
        <v>120604.53</v>
      </c>
      <c r="H73" s="4">
        <v>247513.26</v>
      </c>
      <c r="I73" s="10">
        <v>134000</v>
      </c>
    </row>
    <row r="74" spans="1:9" x14ac:dyDescent="0.25">
      <c r="A74" s="9">
        <v>2023</v>
      </c>
      <c r="B74" s="3">
        <v>8</v>
      </c>
      <c r="C74" s="3">
        <v>13200000000</v>
      </c>
      <c r="D74" s="3"/>
      <c r="E74" s="3"/>
      <c r="F74" s="3" t="s">
        <v>76</v>
      </c>
      <c r="G74" s="3">
        <v>66.239999999999995</v>
      </c>
      <c r="H74" s="4">
        <v>41952088.399999999</v>
      </c>
      <c r="I74" s="10">
        <v>46042000</v>
      </c>
    </row>
    <row r="75" spans="1:9" x14ac:dyDescent="0.25">
      <c r="A75" s="9">
        <v>2023</v>
      </c>
      <c r="B75" s="3">
        <v>8</v>
      </c>
      <c r="C75" s="3">
        <v>13210000000</v>
      </c>
      <c r="D75" s="3"/>
      <c r="E75" s="3"/>
      <c r="F75" s="3" t="s">
        <v>77</v>
      </c>
      <c r="G75" s="3">
        <v>66.239999999999995</v>
      </c>
      <c r="H75" s="4">
        <v>41917636.380000003</v>
      </c>
      <c r="I75" s="10">
        <v>45943000</v>
      </c>
    </row>
    <row r="76" spans="1:9" x14ac:dyDescent="0.25">
      <c r="A76" s="9">
        <v>2023</v>
      </c>
      <c r="B76" s="3">
        <v>8</v>
      </c>
      <c r="C76" s="3">
        <v>13210100000</v>
      </c>
      <c r="D76" s="3"/>
      <c r="E76" s="3"/>
      <c r="F76" s="3" t="s">
        <v>78</v>
      </c>
      <c r="G76" s="3">
        <v>66.239999999999995</v>
      </c>
      <c r="H76" s="4">
        <v>41917636.380000003</v>
      </c>
      <c r="I76" s="10">
        <v>45943000</v>
      </c>
    </row>
    <row r="77" spans="1:9" x14ac:dyDescent="0.25">
      <c r="A77" s="9">
        <v>2023</v>
      </c>
      <c r="B77" s="3">
        <v>8</v>
      </c>
      <c r="C77" s="3">
        <v>13210101001</v>
      </c>
      <c r="D77" s="3">
        <v>2</v>
      </c>
      <c r="E77" s="3">
        <v>1912</v>
      </c>
      <c r="F77" s="3" t="s">
        <v>79</v>
      </c>
      <c r="G77" s="3">
        <v>0</v>
      </c>
      <c r="H77" s="4">
        <v>2012274.85</v>
      </c>
      <c r="I77" s="10">
        <v>7213000</v>
      </c>
    </row>
    <row r="78" spans="1:9" x14ac:dyDescent="0.25">
      <c r="A78" s="9">
        <v>2023</v>
      </c>
      <c r="B78" s="3">
        <v>8</v>
      </c>
      <c r="C78" s="3">
        <v>13210101002</v>
      </c>
      <c r="D78" s="3">
        <v>1</v>
      </c>
      <c r="E78" s="3">
        <v>1890</v>
      </c>
      <c r="F78" s="3" t="s">
        <v>80</v>
      </c>
      <c r="G78" s="3">
        <v>0</v>
      </c>
      <c r="H78" s="4">
        <v>271717.46000000002</v>
      </c>
      <c r="I78" s="10">
        <v>102000</v>
      </c>
    </row>
    <row r="79" spans="1:9" x14ac:dyDescent="0.25">
      <c r="A79" s="9">
        <v>2023</v>
      </c>
      <c r="B79" s="3">
        <v>8</v>
      </c>
      <c r="C79" s="3">
        <v>13210101003</v>
      </c>
      <c r="D79" s="3">
        <v>5</v>
      </c>
      <c r="E79" s="3">
        <v>1030</v>
      </c>
      <c r="F79" s="3" t="s">
        <v>81</v>
      </c>
      <c r="G79" s="3">
        <v>0</v>
      </c>
      <c r="H79" s="3">
        <v>0</v>
      </c>
      <c r="I79" s="10">
        <v>10000</v>
      </c>
    </row>
    <row r="80" spans="1:9" x14ac:dyDescent="0.25">
      <c r="A80" s="9">
        <v>2023</v>
      </c>
      <c r="B80" s="3">
        <v>8</v>
      </c>
      <c r="C80" s="3">
        <v>13210101005</v>
      </c>
      <c r="D80" s="3">
        <v>5</v>
      </c>
      <c r="E80" s="3">
        <v>1511</v>
      </c>
      <c r="F80" s="3" t="s">
        <v>82</v>
      </c>
      <c r="G80" s="3">
        <v>0</v>
      </c>
      <c r="H80" s="3">
        <v>0</v>
      </c>
      <c r="I80" s="10">
        <v>1000</v>
      </c>
    </row>
    <row r="81" spans="1:9" x14ac:dyDescent="0.25">
      <c r="A81" s="9">
        <v>2023</v>
      </c>
      <c r="B81" s="3">
        <v>8</v>
      </c>
      <c r="C81" s="3">
        <v>13210101006</v>
      </c>
      <c r="D81" s="3">
        <v>2</v>
      </c>
      <c r="E81" s="3">
        <v>1780</v>
      </c>
      <c r="F81" s="3" t="s">
        <v>83</v>
      </c>
      <c r="G81" s="3">
        <v>0</v>
      </c>
      <c r="H81" s="4">
        <v>809136.39</v>
      </c>
      <c r="I81" s="10">
        <v>336000</v>
      </c>
    </row>
    <row r="82" spans="1:9" x14ac:dyDescent="0.25">
      <c r="A82" s="9">
        <v>2023</v>
      </c>
      <c r="B82" s="3">
        <v>8</v>
      </c>
      <c r="C82" s="3">
        <v>13210101007</v>
      </c>
      <c r="D82" s="3">
        <v>5</v>
      </c>
      <c r="E82" s="3">
        <v>1074</v>
      </c>
      <c r="F82" s="3" t="s">
        <v>84</v>
      </c>
      <c r="G82" s="3">
        <v>0</v>
      </c>
      <c r="H82" s="4">
        <v>22078.1</v>
      </c>
      <c r="I82" s="11">
        <v>0</v>
      </c>
    </row>
    <row r="83" spans="1:9" x14ac:dyDescent="0.25">
      <c r="A83" s="9">
        <v>2023</v>
      </c>
      <c r="B83" s="3">
        <v>8</v>
      </c>
      <c r="C83" s="3">
        <v>13210101008</v>
      </c>
      <c r="D83" s="3">
        <v>1</v>
      </c>
      <c r="E83" s="3">
        <v>1546</v>
      </c>
      <c r="F83" s="3" t="s">
        <v>85</v>
      </c>
      <c r="G83" s="3">
        <v>0</v>
      </c>
      <c r="H83" s="4">
        <v>176005.63</v>
      </c>
      <c r="I83" s="10">
        <v>2049000</v>
      </c>
    </row>
    <row r="84" spans="1:9" x14ac:dyDescent="0.25">
      <c r="A84" s="9">
        <v>2023</v>
      </c>
      <c r="B84" s="3">
        <v>8</v>
      </c>
      <c r="C84" s="3">
        <v>13210101009</v>
      </c>
      <c r="D84" s="3">
        <v>5</v>
      </c>
      <c r="E84" s="3">
        <v>1750</v>
      </c>
      <c r="F84" s="3" t="s">
        <v>86</v>
      </c>
      <c r="G84" s="3">
        <v>0</v>
      </c>
      <c r="H84" s="4">
        <v>2843238.91</v>
      </c>
      <c r="I84" s="10">
        <v>4126000</v>
      </c>
    </row>
    <row r="85" spans="1:9" x14ac:dyDescent="0.25">
      <c r="A85" s="9">
        <v>2023</v>
      </c>
      <c r="B85" s="3">
        <v>8</v>
      </c>
      <c r="C85" s="3">
        <v>13210101010</v>
      </c>
      <c r="D85" s="3">
        <v>5</v>
      </c>
      <c r="E85" s="3">
        <v>1500</v>
      </c>
      <c r="F85" s="3" t="s">
        <v>87</v>
      </c>
      <c r="G85" s="3">
        <v>0</v>
      </c>
      <c r="H85" s="4">
        <v>95983.28</v>
      </c>
      <c r="I85" s="10">
        <v>767000</v>
      </c>
    </row>
    <row r="86" spans="1:9" x14ac:dyDescent="0.25">
      <c r="A86" s="9">
        <v>2023</v>
      </c>
      <c r="B86" s="3">
        <v>8</v>
      </c>
      <c r="C86" s="3">
        <v>13210101012</v>
      </c>
      <c r="D86" s="3">
        <v>1</v>
      </c>
      <c r="E86" s="3">
        <v>1123</v>
      </c>
      <c r="F86" s="3" t="s">
        <v>88</v>
      </c>
      <c r="G86" s="3">
        <v>0</v>
      </c>
      <c r="H86" s="4">
        <v>9254.17</v>
      </c>
      <c r="I86" s="10">
        <v>10000</v>
      </c>
    </row>
    <row r="87" spans="1:9" x14ac:dyDescent="0.25">
      <c r="A87" s="9">
        <v>2023</v>
      </c>
      <c r="B87" s="3">
        <v>8</v>
      </c>
      <c r="C87" s="3">
        <v>13210101013</v>
      </c>
      <c r="D87" s="3">
        <v>5</v>
      </c>
      <c r="E87" s="3">
        <v>1730</v>
      </c>
      <c r="F87" s="3" t="s">
        <v>89</v>
      </c>
      <c r="G87" s="3">
        <v>0</v>
      </c>
      <c r="H87" s="4">
        <v>93229.43</v>
      </c>
      <c r="I87" s="10">
        <v>61000</v>
      </c>
    </row>
    <row r="88" spans="1:9" x14ac:dyDescent="0.25">
      <c r="A88" s="9">
        <v>2023</v>
      </c>
      <c r="B88" s="3">
        <v>8</v>
      </c>
      <c r="C88" s="3">
        <v>13210101014</v>
      </c>
      <c r="D88" s="3">
        <v>3</v>
      </c>
      <c r="E88" s="3">
        <v>1913</v>
      </c>
      <c r="F88" s="3" t="s">
        <v>90</v>
      </c>
      <c r="G88" s="3">
        <v>0</v>
      </c>
      <c r="H88" s="4">
        <v>721448.35</v>
      </c>
      <c r="I88" s="10">
        <v>710000</v>
      </c>
    </row>
    <row r="89" spans="1:9" x14ac:dyDescent="0.25">
      <c r="A89" s="9">
        <v>2023</v>
      </c>
      <c r="B89" s="3">
        <v>8</v>
      </c>
      <c r="C89" s="3">
        <v>13210101016</v>
      </c>
      <c r="D89" s="3">
        <v>3</v>
      </c>
      <c r="E89" s="3">
        <v>1210</v>
      </c>
      <c r="F89" s="3" t="s">
        <v>91</v>
      </c>
      <c r="G89" s="3">
        <v>0</v>
      </c>
      <c r="H89" s="4">
        <v>953728.18</v>
      </c>
      <c r="I89" s="10">
        <v>300000</v>
      </c>
    </row>
    <row r="90" spans="1:9" x14ac:dyDescent="0.25">
      <c r="A90" s="9">
        <v>2023</v>
      </c>
      <c r="B90" s="3">
        <v>8</v>
      </c>
      <c r="C90" s="3">
        <v>13210101017</v>
      </c>
      <c r="D90" s="3">
        <v>3</v>
      </c>
      <c r="E90" s="3">
        <v>1820</v>
      </c>
      <c r="F90" s="3" t="s">
        <v>92</v>
      </c>
      <c r="G90" s="3">
        <v>0</v>
      </c>
      <c r="H90" s="4">
        <v>125761.56</v>
      </c>
      <c r="I90" s="10">
        <v>92000</v>
      </c>
    </row>
    <row r="91" spans="1:9" x14ac:dyDescent="0.25">
      <c r="A91" s="9">
        <v>2023</v>
      </c>
      <c r="B91" s="3">
        <v>8</v>
      </c>
      <c r="C91" s="3">
        <v>13210101018</v>
      </c>
      <c r="D91" s="3">
        <v>3</v>
      </c>
      <c r="E91" s="3">
        <v>1134</v>
      </c>
      <c r="F91" s="3" t="s">
        <v>93</v>
      </c>
      <c r="G91" s="3">
        <v>0</v>
      </c>
      <c r="H91" s="4">
        <v>235749.86</v>
      </c>
      <c r="I91" s="10">
        <v>255000</v>
      </c>
    </row>
    <row r="92" spans="1:9" x14ac:dyDescent="0.25">
      <c r="A92" s="9">
        <v>2023</v>
      </c>
      <c r="B92" s="3">
        <v>8</v>
      </c>
      <c r="C92" s="3">
        <v>13210101022</v>
      </c>
      <c r="D92" s="3">
        <v>5</v>
      </c>
      <c r="E92" s="3">
        <v>1700</v>
      </c>
      <c r="F92" s="3" t="s">
        <v>94</v>
      </c>
      <c r="G92" s="3">
        <v>0</v>
      </c>
      <c r="H92" s="4">
        <v>1235.32</v>
      </c>
      <c r="I92" s="11">
        <v>0</v>
      </c>
    </row>
    <row r="93" spans="1:9" x14ac:dyDescent="0.25">
      <c r="A93" s="9">
        <v>2023</v>
      </c>
      <c r="B93" s="3">
        <v>8</v>
      </c>
      <c r="C93" s="3">
        <v>13210101024</v>
      </c>
      <c r="D93" s="3">
        <v>5</v>
      </c>
      <c r="E93" s="3">
        <v>1917</v>
      </c>
      <c r="F93" s="3" t="s">
        <v>95</v>
      </c>
      <c r="G93" s="3">
        <v>0</v>
      </c>
      <c r="H93" s="4">
        <v>44419.47</v>
      </c>
      <c r="I93" s="11">
        <v>0</v>
      </c>
    </row>
    <row r="94" spans="1:9" x14ac:dyDescent="0.25">
      <c r="A94" s="9">
        <v>2023</v>
      </c>
      <c r="B94" s="3">
        <v>8</v>
      </c>
      <c r="C94" s="3">
        <v>13210101025</v>
      </c>
      <c r="D94" s="3">
        <v>2</v>
      </c>
      <c r="E94" s="3">
        <v>1450</v>
      </c>
      <c r="F94" s="3" t="s">
        <v>96</v>
      </c>
      <c r="G94" s="3">
        <v>0</v>
      </c>
      <c r="H94" s="4">
        <v>26192.48</v>
      </c>
      <c r="I94" s="11">
        <v>0</v>
      </c>
    </row>
    <row r="95" spans="1:9" x14ac:dyDescent="0.25">
      <c r="A95" s="9">
        <v>2023</v>
      </c>
      <c r="B95" s="3">
        <v>8</v>
      </c>
      <c r="C95" s="3">
        <v>13210101027</v>
      </c>
      <c r="D95" s="3">
        <v>5</v>
      </c>
      <c r="E95" s="3">
        <v>1720</v>
      </c>
      <c r="F95" s="3" t="s">
        <v>97</v>
      </c>
      <c r="G95" s="3">
        <v>0</v>
      </c>
      <c r="H95" s="3">
        <v>0.01</v>
      </c>
      <c r="I95" s="11">
        <v>0</v>
      </c>
    </row>
    <row r="96" spans="1:9" x14ac:dyDescent="0.25">
      <c r="A96" s="9">
        <v>2023</v>
      </c>
      <c r="B96" s="3">
        <v>8</v>
      </c>
      <c r="C96" s="3">
        <v>13210101028</v>
      </c>
      <c r="D96" s="3">
        <v>5</v>
      </c>
      <c r="E96" s="3">
        <v>1916</v>
      </c>
      <c r="F96" s="3" t="s">
        <v>98</v>
      </c>
      <c r="G96" s="3">
        <v>0</v>
      </c>
      <c r="H96" s="4">
        <v>1409.67</v>
      </c>
      <c r="I96" s="11">
        <v>0</v>
      </c>
    </row>
    <row r="97" spans="1:9" x14ac:dyDescent="0.25">
      <c r="A97" s="9">
        <v>2023</v>
      </c>
      <c r="B97" s="3">
        <v>8</v>
      </c>
      <c r="C97" s="3">
        <v>13210101036</v>
      </c>
      <c r="D97" s="3">
        <v>6</v>
      </c>
      <c r="E97" s="3">
        <v>1116</v>
      </c>
      <c r="F97" s="3" t="s">
        <v>99</v>
      </c>
      <c r="G97" s="3">
        <v>0</v>
      </c>
      <c r="H97" s="3">
        <v>48.13</v>
      </c>
      <c r="I97" s="11">
        <v>0</v>
      </c>
    </row>
    <row r="98" spans="1:9" x14ac:dyDescent="0.25">
      <c r="A98" s="9">
        <v>2023</v>
      </c>
      <c r="B98" s="3">
        <v>8</v>
      </c>
      <c r="C98" s="3">
        <v>13210101040</v>
      </c>
      <c r="D98" s="3">
        <v>2</v>
      </c>
      <c r="E98" s="3">
        <v>1563</v>
      </c>
      <c r="F98" s="3" t="s">
        <v>100</v>
      </c>
      <c r="G98" s="3">
        <v>0</v>
      </c>
      <c r="H98" s="3">
        <v>276.72000000000003</v>
      </c>
      <c r="I98" s="11">
        <v>0</v>
      </c>
    </row>
    <row r="99" spans="1:9" x14ac:dyDescent="0.25">
      <c r="A99" s="9">
        <v>2023</v>
      </c>
      <c r="B99" s="3">
        <v>8</v>
      </c>
      <c r="C99" s="3">
        <v>13210101041</v>
      </c>
      <c r="D99" s="3">
        <v>2</v>
      </c>
      <c r="E99" s="3">
        <v>1731</v>
      </c>
      <c r="F99" s="3" t="s">
        <v>101</v>
      </c>
      <c r="G99" s="3">
        <v>0</v>
      </c>
      <c r="H99" s="4">
        <v>39707.11</v>
      </c>
      <c r="I99" s="10">
        <v>37000</v>
      </c>
    </row>
    <row r="100" spans="1:9" x14ac:dyDescent="0.25">
      <c r="A100" s="9">
        <v>2023</v>
      </c>
      <c r="B100" s="3">
        <v>8</v>
      </c>
      <c r="C100" s="3">
        <v>13210101042</v>
      </c>
      <c r="D100" s="3">
        <v>1</v>
      </c>
      <c r="E100" s="3">
        <v>1121</v>
      </c>
      <c r="F100" s="3" t="s">
        <v>102</v>
      </c>
      <c r="G100" s="3">
        <v>0</v>
      </c>
      <c r="H100" s="4">
        <v>222357.69</v>
      </c>
      <c r="I100" s="10">
        <v>801000</v>
      </c>
    </row>
    <row r="101" spans="1:9" x14ac:dyDescent="0.25">
      <c r="A101" s="9">
        <v>2023</v>
      </c>
      <c r="B101" s="3">
        <v>8</v>
      </c>
      <c r="C101" s="3">
        <v>13210101045</v>
      </c>
      <c r="D101" s="3">
        <v>6</v>
      </c>
      <c r="E101" s="3">
        <v>1119</v>
      </c>
      <c r="F101" s="3" t="s">
        <v>103</v>
      </c>
      <c r="G101" s="3">
        <v>0</v>
      </c>
      <c r="H101" s="4">
        <v>12318.32</v>
      </c>
      <c r="I101" s="11">
        <v>0</v>
      </c>
    </row>
    <row r="102" spans="1:9" x14ac:dyDescent="0.25">
      <c r="A102" s="9">
        <v>2023</v>
      </c>
      <c r="B102" s="3">
        <v>8</v>
      </c>
      <c r="C102" s="3">
        <v>13210101048</v>
      </c>
      <c r="D102" s="3">
        <v>3</v>
      </c>
      <c r="E102" s="3">
        <v>1127</v>
      </c>
      <c r="F102" s="3" t="s">
        <v>104</v>
      </c>
      <c r="G102" s="3">
        <v>0</v>
      </c>
      <c r="H102" s="4">
        <v>1216.08</v>
      </c>
      <c r="I102" s="10">
        <v>1000</v>
      </c>
    </row>
    <row r="103" spans="1:9" x14ac:dyDescent="0.25">
      <c r="A103" s="9">
        <v>2023</v>
      </c>
      <c r="B103" s="3">
        <v>8</v>
      </c>
      <c r="C103" s="3">
        <v>13210101049</v>
      </c>
      <c r="D103" s="3">
        <v>2</v>
      </c>
      <c r="E103" s="3">
        <v>1128</v>
      </c>
      <c r="F103" s="3" t="s">
        <v>105</v>
      </c>
      <c r="G103" s="3">
        <v>0</v>
      </c>
      <c r="H103" s="4">
        <v>224022.16</v>
      </c>
      <c r="I103" s="11">
        <v>0</v>
      </c>
    </row>
    <row r="104" spans="1:9" x14ac:dyDescent="0.25">
      <c r="A104" s="9">
        <v>2023</v>
      </c>
      <c r="B104" s="3">
        <v>8</v>
      </c>
      <c r="C104" s="3">
        <v>13210101050</v>
      </c>
      <c r="D104" s="3">
        <v>3</v>
      </c>
      <c r="E104" s="3">
        <v>1129</v>
      </c>
      <c r="F104" s="3" t="s">
        <v>106</v>
      </c>
      <c r="G104" s="3">
        <v>0</v>
      </c>
      <c r="H104" s="4">
        <v>319570.86</v>
      </c>
      <c r="I104" s="10">
        <v>285000</v>
      </c>
    </row>
    <row r="105" spans="1:9" x14ac:dyDescent="0.25">
      <c r="A105" s="9">
        <v>2023</v>
      </c>
      <c r="B105" s="3">
        <v>8</v>
      </c>
      <c r="C105" s="3">
        <v>13210101051</v>
      </c>
      <c r="D105" s="3">
        <v>3</v>
      </c>
      <c r="E105" s="3">
        <v>1130</v>
      </c>
      <c r="F105" s="3" t="s">
        <v>107</v>
      </c>
      <c r="G105" s="3">
        <v>0</v>
      </c>
      <c r="H105" s="4">
        <v>68980.12</v>
      </c>
      <c r="I105" s="10">
        <v>136000</v>
      </c>
    </row>
    <row r="106" spans="1:9" x14ac:dyDescent="0.25">
      <c r="A106" s="9">
        <v>2023</v>
      </c>
      <c r="B106" s="3">
        <v>8</v>
      </c>
      <c r="C106" s="3">
        <v>13210101053</v>
      </c>
      <c r="D106" s="3">
        <v>3</v>
      </c>
      <c r="E106" s="3">
        <v>1143</v>
      </c>
      <c r="F106" s="3" t="s">
        <v>108</v>
      </c>
      <c r="G106" s="3">
        <v>0</v>
      </c>
      <c r="H106" s="4">
        <v>19550.16</v>
      </c>
      <c r="I106" s="10">
        <v>1000</v>
      </c>
    </row>
    <row r="107" spans="1:9" x14ac:dyDescent="0.25">
      <c r="A107" s="9">
        <v>2023</v>
      </c>
      <c r="B107" s="3">
        <v>8</v>
      </c>
      <c r="C107" s="3">
        <v>13210101054</v>
      </c>
      <c r="D107" s="3">
        <v>5</v>
      </c>
      <c r="E107" s="3">
        <v>1144</v>
      </c>
      <c r="F107" s="3" t="s">
        <v>109</v>
      </c>
      <c r="G107" s="3">
        <v>0</v>
      </c>
      <c r="H107" s="4">
        <v>1085.82</v>
      </c>
      <c r="I107" s="11">
        <v>0</v>
      </c>
    </row>
    <row r="108" spans="1:9" x14ac:dyDescent="0.25">
      <c r="A108" s="9">
        <v>2023</v>
      </c>
      <c r="B108" s="3">
        <v>8</v>
      </c>
      <c r="C108" s="3">
        <v>13210101055</v>
      </c>
      <c r="D108" s="3">
        <v>5</v>
      </c>
      <c r="E108" s="3">
        <v>1145</v>
      </c>
      <c r="F108" s="3" t="s">
        <v>110</v>
      </c>
      <c r="G108" s="3">
        <v>0</v>
      </c>
      <c r="H108" s="4">
        <v>108352.72</v>
      </c>
      <c r="I108" s="11">
        <v>0</v>
      </c>
    </row>
    <row r="109" spans="1:9" x14ac:dyDescent="0.25">
      <c r="A109" s="9">
        <v>2023</v>
      </c>
      <c r="B109" s="3">
        <v>8</v>
      </c>
      <c r="C109" s="3">
        <v>13210101056</v>
      </c>
      <c r="D109" s="3">
        <v>5</v>
      </c>
      <c r="E109" s="3">
        <v>1146</v>
      </c>
      <c r="F109" s="3" t="s">
        <v>111</v>
      </c>
      <c r="G109" s="3">
        <v>0</v>
      </c>
      <c r="H109" s="4">
        <v>8563.0400000000009</v>
      </c>
      <c r="I109" s="10">
        <v>13000</v>
      </c>
    </row>
    <row r="110" spans="1:9" x14ac:dyDescent="0.25">
      <c r="A110" s="9">
        <v>2023</v>
      </c>
      <c r="B110" s="3">
        <v>8</v>
      </c>
      <c r="C110" s="3">
        <v>13210101057</v>
      </c>
      <c r="D110" s="3">
        <v>5</v>
      </c>
      <c r="E110" s="3">
        <v>1147</v>
      </c>
      <c r="F110" s="3" t="s">
        <v>112</v>
      </c>
      <c r="G110" s="3">
        <v>0</v>
      </c>
      <c r="H110" s="4">
        <v>1206.18</v>
      </c>
      <c r="I110" s="11">
        <v>0</v>
      </c>
    </row>
    <row r="111" spans="1:9" x14ac:dyDescent="0.25">
      <c r="A111" s="9">
        <v>2023</v>
      </c>
      <c r="B111" s="3">
        <v>8</v>
      </c>
      <c r="C111" s="3">
        <v>13210101058</v>
      </c>
      <c r="D111" s="3">
        <v>2</v>
      </c>
      <c r="E111" s="3">
        <v>1148</v>
      </c>
      <c r="F111" s="3" t="s">
        <v>113</v>
      </c>
      <c r="G111" s="3">
        <v>0</v>
      </c>
      <c r="H111" s="4">
        <v>1740.99</v>
      </c>
      <c r="I111" s="11">
        <v>0</v>
      </c>
    </row>
    <row r="112" spans="1:9" x14ac:dyDescent="0.25">
      <c r="A112" s="9">
        <v>2023</v>
      </c>
      <c r="B112" s="3">
        <v>8</v>
      </c>
      <c r="C112" s="3">
        <v>13210101059</v>
      </c>
      <c r="D112" s="3">
        <v>3</v>
      </c>
      <c r="E112" s="3">
        <v>1149</v>
      </c>
      <c r="F112" s="3" t="s">
        <v>114</v>
      </c>
      <c r="G112" s="3">
        <v>0</v>
      </c>
      <c r="H112" s="3">
        <v>408.29</v>
      </c>
      <c r="I112" s="10">
        <v>1000</v>
      </c>
    </row>
    <row r="113" spans="1:9" x14ac:dyDescent="0.25">
      <c r="A113" s="9">
        <v>2023</v>
      </c>
      <c r="B113" s="3">
        <v>8</v>
      </c>
      <c r="C113" s="3">
        <v>13210101060</v>
      </c>
      <c r="D113" s="3">
        <v>5</v>
      </c>
      <c r="E113" s="3">
        <v>1152</v>
      </c>
      <c r="F113" s="3" t="s">
        <v>115</v>
      </c>
      <c r="G113" s="3">
        <v>0</v>
      </c>
      <c r="H113" s="4">
        <v>132881.60000000001</v>
      </c>
      <c r="I113" s="11">
        <v>0</v>
      </c>
    </row>
    <row r="114" spans="1:9" x14ac:dyDescent="0.25">
      <c r="A114" s="9">
        <v>2023</v>
      </c>
      <c r="B114" s="3">
        <v>8</v>
      </c>
      <c r="C114" s="3">
        <v>13210101061</v>
      </c>
      <c r="D114" s="3">
        <v>3</v>
      </c>
      <c r="E114" s="3">
        <v>1999</v>
      </c>
      <c r="F114" s="3" t="s">
        <v>116</v>
      </c>
      <c r="G114" s="3">
        <v>0</v>
      </c>
      <c r="H114" s="4">
        <v>11241.77</v>
      </c>
      <c r="I114" s="10">
        <v>14000</v>
      </c>
    </row>
    <row r="115" spans="1:9" x14ac:dyDescent="0.25">
      <c r="A115" s="9">
        <v>2023</v>
      </c>
      <c r="B115" s="3">
        <v>8</v>
      </c>
      <c r="C115" s="3">
        <v>13210101067</v>
      </c>
      <c r="D115" s="3">
        <v>3</v>
      </c>
      <c r="E115" s="3">
        <v>1158</v>
      </c>
      <c r="F115" s="3" t="s">
        <v>117</v>
      </c>
      <c r="G115" s="3">
        <v>0</v>
      </c>
      <c r="H115" s="4">
        <v>156380.69</v>
      </c>
      <c r="I115" s="10">
        <v>213000</v>
      </c>
    </row>
    <row r="116" spans="1:9" x14ac:dyDescent="0.25">
      <c r="A116" s="9">
        <v>2023</v>
      </c>
      <c r="B116" s="3">
        <v>8</v>
      </c>
      <c r="C116" s="3">
        <v>13210101068</v>
      </c>
      <c r="D116" s="3">
        <v>1</v>
      </c>
      <c r="E116" s="3">
        <v>1159</v>
      </c>
      <c r="F116" s="3" t="s">
        <v>118</v>
      </c>
      <c r="G116" s="3">
        <v>0</v>
      </c>
      <c r="H116" s="3">
        <v>391.34</v>
      </c>
      <c r="I116" s="11">
        <v>0</v>
      </c>
    </row>
    <row r="117" spans="1:9" x14ac:dyDescent="0.25">
      <c r="A117" s="9">
        <v>2023</v>
      </c>
      <c r="B117" s="3">
        <v>8</v>
      </c>
      <c r="C117" s="3">
        <v>13210101069</v>
      </c>
      <c r="D117" s="3">
        <v>7</v>
      </c>
      <c r="E117" s="3">
        <v>1160</v>
      </c>
      <c r="F117" s="3" t="s">
        <v>119</v>
      </c>
      <c r="G117" s="3">
        <v>0</v>
      </c>
      <c r="H117" s="4">
        <v>1070.1199999999999</v>
      </c>
      <c r="I117" s="11">
        <v>0</v>
      </c>
    </row>
    <row r="118" spans="1:9" x14ac:dyDescent="0.25">
      <c r="A118" s="9">
        <v>2023</v>
      </c>
      <c r="B118" s="3">
        <v>8</v>
      </c>
      <c r="C118" s="3">
        <v>13210101070</v>
      </c>
      <c r="D118" s="3">
        <v>1</v>
      </c>
      <c r="E118" s="3">
        <v>1066</v>
      </c>
      <c r="F118" s="3" t="s">
        <v>120</v>
      </c>
      <c r="G118" s="3">
        <v>0</v>
      </c>
      <c r="H118" s="4">
        <v>23692603.059999999</v>
      </c>
      <c r="I118" s="10">
        <v>22852000</v>
      </c>
    </row>
    <row r="119" spans="1:9" x14ac:dyDescent="0.25">
      <c r="A119" s="9">
        <v>2023</v>
      </c>
      <c r="B119" s="3">
        <v>8</v>
      </c>
      <c r="C119" s="3">
        <v>13210101071</v>
      </c>
      <c r="D119" s="3">
        <v>1</v>
      </c>
      <c r="E119" s="3">
        <v>1112</v>
      </c>
      <c r="F119" s="3" t="s">
        <v>121</v>
      </c>
      <c r="G119" s="3">
        <v>0</v>
      </c>
      <c r="H119" s="4">
        <v>106147.45</v>
      </c>
      <c r="I119" s="10">
        <v>103000</v>
      </c>
    </row>
    <row r="120" spans="1:9" x14ac:dyDescent="0.25">
      <c r="A120" s="9">
        <v>2023</v>
      </c>
      <c r="B120" s="3">
        <v>8</v>
      </c>
      <c r="C120" s="3">
        <v>13210101072</v>
      </c>
      <c r="D120" s="3">
        <v>1</v>
      </c>
      <c r="E120" s="3">
        <v>1117</v>
      </c>
      <c r="F120" s="3" t="s">
        <v>122</v>
      </c>
      <c r="G120" s="3">
        <v>0</v>
      </c>
      <c r="H120" s="4">
        <v>38192.129999999997</v>
      </c>
      <c r="I120" s="10">
        <v>32000</v>
      </c>
    </row>
    <row r="121" spans="1:9" x14ac:dyDescent="0.25">
      <c r="A121" s="9">
        <v>2023</v>
      </c>
      <c r="B121" s="3">
        <v>8</v>
      </c>
      <c r="C121" s="3">
        <v>13210101073</v>
      </c>
      <c r="D121" s="3">
        <v>1</v>
      </c>
      <c r="E121" s="3">
        <v>1118</v>
      </c>
      <c r="F121" s="3" t="s">
        <v>123</v>
      </c>
      <c r="G121" s="3">
        <v>0</v>
      </c>
      <c r="H121" s="4">
        <v>231010.59</v>
      </c>
      <c r="I121" s="10">
        <v>158000</v>
      </c>
    </row>
    <row r="122" spans="1:9" x14ac:dyDescent="0.25">
      <c r="A122" s="9">
        <v>2023</v>
      </c>
      <c r="B122" s="3">
        <v>8</v>
      </c>
      <c r="C122" s="3">
        <v>13210101074</v>
      </c>
      <c r="D122" s="3">
        <v>5</v>
      </c>
      <c r="E122" s="3">
        <v>1125</v>
      </c>
      <c r="F122" s="3" t="s">
        <v>124</v>
      </c>
      <c r="G122" s="3">
        <v>0</v>
      </c>
      <c r="H122" s="4">
        <v>2382553.34</v>
      </c>
      <c r="I122" s="10">
        <v>3552000</v>
      </c>
    </row>
    <row r="123" spans="1:9" x14ac:dyDescent="0.25">
      <c r="A123" s="9">
        <v>2023</v>
      </c>
      <c r="B123" s="3">
        <v>8</v>
      </c>
      <c r="C123" s="3">
        <v>13210101076</v>
      </c>
      <c r="D123" s="3">
        <v>3</v>
      </c>
      <c r="E123" s="3">
        <v>1162</v>
      </c>
      <c r="F123" s="3" t="s">
        <v>125</v>
      </c>
      <c r="G123" s="3">
        <v>0</v>
      </c>
      <c r="H123" s="3">
        <v>453.82</v>
      </c>
      <c r="I123" s="10">
        <v>2000</v>
      </c>
    </row>
    <row r="124" spans="1:9" x14ac:dyDescent="0.25">
      <c r="A124" s="9">
        <v>2023</v>
      </c>
      <c r="B124" s="3">
        <v>8</v>
      </c>
      <c r="C124" s="3">
        <v>13210101082</v>
      </c>
      <c r="D124" s="3">
        <v>5</v>
      </c>
      <c r="E124" s="3">
        <v>1168</v>
      </c>
      <c r="F124" s="3" t="s">
        <v>126</v>
      </c>
      <c r="G124" s="3">
        <v>0</v>
      </c>
      <c r="H124" s="4">
        <v>33292.06</v>
      </c>
      <c r="I124" s="11">
        <v>0</v>
      </c>
    </row>
    <row r="125" spans="1:9" x14ac:dyDescent="0.25">
      <c r="A125" s="9">
        <v>2023</v>
      </c>
      <c r="B125" s="3">
        <v>8</v>
      </c>
      <c r="C125" s="3">
        <v>13210101083</v>
      </c>
      <c r="D125" s="3">
        <v>3</v>
      </c>
      <c r="E125" s="3">
        <v>1169</v>
      </c>
      <c r="F125" s="3" t="s">
        <v>127</v>
      </c>
      <c r="G125" s="3">
        <v>0</v>
      </c>
      <c r="H125" s="4">
        <v>198126.76</v>
      </c>
      <c r="I125" s="10">
        <v>122000</v>
      </c>
    </row>
    <row r="126" spans="1:9" x14ac:dyDescent="0.25">
      <c r="A126" s="9">
        <v>2023</v>
      </c>
      <c r="B126" s="3">
        <v>8</v>
      </c>
      <c r="C126" s="3">
        <v>13210101085</v>
      </c>
      <c r="D126" s="3">
        <v>6</v>
      </c>
      <c r="E126" s="3">
        <v>1181</v>
      </c>
      <c r="F126" s="3" t="s">
        <v>128</v>
      </c>
      <c r="G126" s="3">
        <v>0</v>
      </c>
      <c r="H126" s="4">
        <v>2453.36</v>
      </c>
      <c r="I126" s="10">
        <v>22000</v>
      </c>
    </row>
    <row r="127" spans="1:9" x14ac:dyDescent="0.25">
      <c r="A127" s="9">
        <v>2023</v>
      </c>
      <c r="B127" s="3">
        <v>8</v>
      </c>
      <c r="C127" s="3">
        <v>13210101086</v>
      </c>
      <c r="D127" s="3">
        <v>3</v>
      </c>
      <c r="E127" s="3">
        <v>1182</v>
      </c>
      <c r="F127" s="3" t="s">
        <v>129</v>
      </c>
      <c r="G127" s="3">
        <v>0</v>
      </c>
      <c r="H127" s="4">
        <v>788698.7</v>
      </c>
      <c r="I127" s="10">
        <v>393000</v>
      </c>
    </row>
    <row r="128" spans="1:9" x14ac:dyDescent="0.25">
      <c r="A128" s="9">
        <v>2023</v>
      </c>
      <c r="B128" s="3">
        <v>8</v>
      </c>
      <c r="C128" s="3">
        <v>13210101087</v>
      </c>
      <c r="D128" s="3">
        <v>6</v>
      </c>
      <c r="E128" s="3">
        <v>1183</v>
      </c>
      <c r="F128" s="3" t="s">
        <v>130</v>
      </c>
      <c r="G128" s="3">
        <v>0</v>
      </c>
      <c r="H128" s="4">
        <v>8789.07</v>
      </c>
      <c r="I128" s="11">
        <v>0</v>
      </c>
    </row>
    <row r="129" spans="1:9" x14ac:dyDescent="0.25">
      <c r="A129" s="9">
        <v>2023</v>
      </c>
      <c r="B129" s="3">
        <v>8</v>
      </c>
      <c r="C129" s="3">
        <v>13210101089</v>
      </c>
      <c r="D129" s="3">
        <v>1</v>
      </c>
      <c r="E129" s="3">
        <v>1185</v>
      </c>
      <c r="F129" s="3" t="s">
        <v>131</v>
      </c>
      <c r="G129" s="3">
        <v>0</v>
      </c>
      <c r="H129" s="4">
        <v>19352.41</v>
      </c>
      <c r="I129" s="10">
        <v>14000</v>
      </c>
    </row>
    <row r="130" spans="1:9" x14ac:dyDescent="0.25">
      <c r="A130" s="9">
        <v>2023</v>
      </c>
      <c r="B130" s="3">
        <v>8</v>
      </c>
      <c r="C130" s="3">
        <v>13210101093</v>
      </c>
      <c r="D130" s="3">
        <v>2</v>
      </c>
      <c r="E130" s="3">
        <v>1189</v>
      </c>
      <c r="F130" s="3" t="s">
        <v>132</v>
      </c>
      <c r="G130" s="3">
        <v>0</v>
      </c>
      <c r="H130" s="3">
        <v>51.81</v>
      </c>
      <c r="I130" s="11">
        <v>0</v>
      </c>
    </row>
    <row r="131" spans="1:9" x14ac:dyDescent="0.25">
      <c r="A131" s="9">
        <v>2023</v>
      </c>
      <c r="B131" s="3">
        <v>8</v>
      </c>
      <c r="C131" s="3">
        <v>13210101095</v>
      </c>
      <c r="D131" s="3">
        <v>6</v>
      </c>
      <c r="E131" s="3">
        <v>1191</v>
      </c>
      <c r="F131" s="3" t="s">
        <v>133</v>
      </c>
      <c r="G131" s="3">
        <v>0</v>
      </c>
      <c r="H131" s="3">
        <v>789.64</v>
      </c>
      <c r="I131" s="11">
        <v>0</v>
      </c>
    </row>
    <row r="132" spans="1:9" x14ac:dyDescent="0.25">
      <c r="A132" s="9">
        <v>2023</v>
      </c>
      <c r="B132" s="3">
        <v>8</v>
      </c>
      <c r="C132" s="3">
        <v>13210101096</v>
      </c>
      <c r="D132" s="3">
        <v>6</v>
      </c>
      <c r="E132" s="3">
        <v>1192</v>
      </c>
      <c r="F132" s="3" t="s">
        <v>134</v>
      </c>
      <c r="G132" s="3">
        <v>0</v>
      </c>
      <c r="H132" s="4">
        <v>1728.32</v>
      </c>
      <c r="I132" s="10">
        <v>2000</v>
      </c>
    </row>
    <row r="133" spans="1:9" x14ac:dyDescent="0.25">
      <c r="A133" s="9">
        <v>2023</v>
      </c>
      <c r="B133" s="3">
        <v>8</v>
      </c>
      <c r="C133" s="3">
        <v>13210101098</v>
      </c>
      <c r="D133" s="3">
        <v>1</v>
      </c>
      <c r="E133" s="3">
        <v>1194</v>
      </c>
      <c r="F133" s="3" t="s">
        <v>135</v>
      </c>
      <c r="G133" s="3">
        <v>0</v>
      </c>
      <c r="H133" s="4">
        <v>96297.95</v>
      </c>
      <c r="I133" s="10">
        <v>194000</v>
      </c>
    </row>
    <row r="134" spans="1:9" x14ac:dyDescent="0.25">
      <c r="A134" s="9">
        <v>2023</v>
      </c>
      <c r="B134" s="3">
        <v>8</v>
      </c>
      <c r="C134" s="3">
        <v>13210101100</v>
      </c>
      <c r="D134" s="3">
        <v>5</v>
      </c>
      <c r="E134" s="3">
        <v>1196</v>
      </c>
      <c r="F134" s="3" t="s">
        <v>136</v>
      </c>
      <c r="G134" s="3">
        <v>0</v>
      </c>
      <c r="H134" s="4">
        <v>3774.07</v>
      </c>
      <c r="I134" s="11">
        <v>0</v>
      </c>
    </row>
    <row r="135" spans="1:9" x14ac:dyDescent="0.25">
      <c r="A135" s="9">
        <v>2023</v>
      </c>
      <c r="B135" s="3">
        <v>8</v>
      </c>
      <c r="C135" s="3">
        <v>13210101101</v>
      </c>
      <c r="D135" s="3">
        <v>5</v>
      </c>
      <c r="E135" s="3">
        <v>1197</v>
      </c>
      <c r="F135" s="3" t="s">
        <v>137</v>
      </c>
      <c r="G135" s="3">
        <v>0</v>
      </c>
      <c r="H135" s="4">
        <v>4620.7299999999996</v>
      </c>
      <c r="I135" s="11">
        <v>0</v>
      </c>
    </row>
    <row r="136" spans="1:9" x14ac:dyDescent="0.25">
      <c r="A136" s="9">
        <v>2023</v>
      </c>
      <c r="B136" s="3">
        <v>8</v>
      </c>
      <c r="C136" s="3">
        <v>13210101103</v>
      </c>
      <c r="D136" s="3">
        <v>6</v>
      </c>
      <c r="E136" s="3">
        <v>1199</v>
      </c>
      <c r="F136" s="3" t="s">
        <v>138</v>
      </c>
      <c r="G136" s="3">
        <v>0</v>
      </c>
      <c r="H136" s="3">
        <v>17.71</v>
      </c>
      <c r="I136" s="11">
        <v>0</v>
      </c>
    </row>
    <row r="137" spans="1:9" x14ac:dyDescent="0.25">
      <c r="A137" s="9">
        <v>2023</v>
      </c>
      <c r="B137" s="3">
        <v>8</v>
      </c>
      <c r="C137" s="3">
        <v>13210101107</v>
      </c>
      <c r="D137" s="3">
        <v>6</v>
      </c>
      <c r="E137" s="3">
        <v>1215</v>
      </c>
      <c r="F137" s="3" t="s">
        <v>139</v>
      </c>
      <c r="G137" s="3">
        <v>0</v>
      </c>
      <c r="H137" s="4">
        <v>353387.31</v>
      </c>
      <c r="I137" s="11">
        <v>0</v>
      </c>
    </row>
    <row r="138" spans="1:9" x14ac:dyDescent="0.25">
      <c r="A138" s="9">
        <v>2023</v>
      </c>
      <c r="B138" s="3">
        <v>8</v>
      </c>
      <c r="C138" s="3">
        <v>13210101108</v>
      </c>
      <c r="D138" s="3">
        <v>6</v>
      </c>
      <c r="E138" s="3">
        <v>1216</v>
      </c>
      <c r="F138" s="3" t="s">
        <v>140</v>
      </c>
      <c r="G138" s="3">
        <v>0</v>
      </c>
      <c r="H138" s="4">
        <v>43145.19</v>
      </c>
      <c r="I138" s="11">
        <v>0</v>
      </c>
    </row>
    <row r="139" spans="1:9" x14ac:dyDescent="0.25">
      <c r="A139" s="9">
        <v>2023</v>
      </c>
      <c r="B139" s="3">
        <v>8</v>
      </c>
      <c r="C139" s="3">
        <v>13210101109</v>
      </c>
      <c r="D139" s="3">
        <v>6</v>
      </c>
      <c r="E139" s="3">
        <v>1217</v>
      </c>
      <c r="F139" s="3" t="s">
        <v>141</v>
      </c>
      <c r="G139" s="3">
        <v>0</v>
      </c>
      <c r="H139" s="4">
        <v>395651.21</v>
      </c>
      <c r="I139" s="11">
        <v>0</v>
      </c>
    </row>
    <row r="140" spans="1:9" x14ac:dyDescent="0.25">
      <c r="A140" s="9">
        <v>2023</v>
      </c>
      <c r="B140" s="3">
        <v>8</v>
      </c>
      <c r="C140" s="3">
        <v>13210101110</v>
      </c>
      <c r="D140" s="3">
        <v>6</v>
      </c>
      <c r="E140" s="3">
        <v>1218</v>
      </c>
      <c r="F140" s="3" t="s">
        <v>142</v>
      </c>
      <c r="G140" s="3">
        <v>0</v>
      </c>
      <c r="H140" s="4">
        <v>4026.42</v>
      </c>
      <c r="I140" s="11">
        <v>0</v>
      </c>
    </row>
    <row r="141" spans="1:9" x14ac:dyDescent="0.25">
      <c r="A141" s="9">
        <v>2023</v>
      </c>
      <c r="B141" s="3">
        <v>8</v>
      </c>
      <c r="C141" s="3">
        <v>13210101112</v>
      </c>
      <c r="D141" s="3">
        <v>5</v>
      </c>
      <c r="E141" s="3">
        <v>1222</v>
      </c>
      <c r="F141" s="3" t="s">
        <v>143</v>
      </c>
      <c r="G141" s="3">
        <v>0</v>
      </c>
      <c r="H141" s="3">
        <v>8.82</v>
      </c>
      <c r="I141" s="11">
        <v>0</v>
      </c>
    </row>
    <row r="142" spans="1:9" x14ac:dyDescent="0.25">
      <c r="A142" s="9">
        <v>2023</v>
      </c>
      <c r="B142" s="3">
        <v>8</v>
      </c>
      <c r="C142" s="3">
        <v>13210101113</v>
      </c>
      <c r="D142" s="3">
        <v>5</v>
      </c>
      <c r="E142" s="3">
        <v>1223</v>
      </c>
      <c r="F142" s="3" t="s">
        <v>144</v>
      </c>
      <c r="G142" s="3">
        <v>0</v>
      </c>
      <c r="H142" s="3">
        <v>52.29</v>
      </c>
      <c r="I142" s="11">
        <v>0</v>
      </c>
    </row>
    <row r="143" spans="1:9" x14ac:dyDescent="0.25">
      <c r="A143" s="9">
        <v>2023</v>
      </c>
      <c r="B143" s="3">
        <v>8</v>
      </c>
      <c r="C143" s="3">
        <v>13210101114</v>
      </c>
      <c r="D143" s="3">
        <v>5</v>
      </c>
      <c r="E143" s="3">
        <v>1224</v>
      </c>
      <c r="F143" s="3" t="s">
        <v>145</v>
      </c>
      <c r="G143" s="3">
        <v>0</v>
      </c>
      <c r="H143" s="3">
        <v>65.58</v>
      </c>
      <c r="I143" s="11">
        <v>0</v>
      </c>
    </row>
    <row r="144" spans="1:9" x14ac:dyDescent="0.25">
      <c r="A144" s="9">
        <v>2023</v>
      </c>
      <c r="B144" s="3">
        <v>8</v>
      </c>
      <c r="C144" s="3">
        <v>13210101115</v>
      </c>
      <c r="D144" s="3">
        <v>3</v>
      </c>
      <c r="E144" s="3">
        <v>1225</v>
      </c>
      <c r="F144" s="3" t="s">
        <v>146</v>
      </c>
      <c r="G144" s="3">
        <v>0</v>
      </c>
      <c r="H144" s="4">
        <v>265413.25</v>
      </c>
      <c r="I144" s="10">
        <v>240000</v>
      </c>
    </row>
    <row r="145" spans="1:9" x14ac:dyDescent="0.25">
      <c r="A145" s="9">
        <v>2023</v>
      </c>
      <c r="B145" s="3">
        <v>8</v>
      </c>
      <c r="C145" s="3">
        <v>13210101117</v>
      </c>
      <c r="D145" s="3">
        <v>6</v>
      </c>
      <c r="E145" s="3">
        <v>1227</v>
      </c>
      <c r="F145" s="3" t="s">
        <v>147</v>
      </c>
      <c r="G145" s="3">
        <v>0</v>
      </c>
      <c r="H145" s="3">
        <v>238.1</v>
      </c>
      <c r="I145" s="11">
        <v>0</v>
      </c>
    </row>
    <row r="146" spans="1:9" x14ac:dyDescent="0.25">
      <c r="A146" s="9">
        <v>2023</v>
      </c>
      <c r="B146" s="3">
        <v>8</v>
      </c>
      <c r="C146" s="3">
        <v>13210101128</v>
      </c>
      <c r="D146" s="3">
        <v>3</v>
      </c>
      <c r="E146" s="3">
        <v>1238</v>
      </c>
      <c r="F146" s="3" t="s">
        <v>148</v>
      </c>
      <c r="G146" s="3">
        <v>0</v>
      </c>
      <c r="H146" s="4">
        <v>6658.68</v>
      </c>
      <c r="I146" s="11">
        <v>0</v>
      </c>
    </row>
    <row r="147" spans="1:9" x14ac:dyDescent="0.25">
      <c r="A147" s="9">
        <v>2023</v>
      </c>
      <c r="B147" s="3">
        <v>8</v>
      </c>
      <c r="C147" s="3">
        <v>13210101131</v>
      </c>
      <c r="D147" s="3">
        <v>6</v>
      </c>
      <c r="E147" s="3">
        <v>1243</v>
      </c>
      <c r="F147" s="3" t="s">
        <v>149</v>
      </c>
      <c r="G147" s="3">
        <v>0</v>
      </c>
      <c r="H147" s="4">
        <v>3493.03</v>
      </c>
      <c r="I147" s="11">
        <v>0</v>
      </c>
    </row>
    <row r="148" spans="1:9" x14ac:dyDescent="0.25">
      <c r="A148" s="9">
        <v>2023</v>
      </c>
      <c r="B148" s="3">
        <v>8</v>
      </c>
      <c r="C148" s="3">
        <v>13210101132</v>
      </c>
      <c r="D148" s="3">
        <v>2</v>
      </c>
      <c r="E148" s="3">
        <v>1245</v>
      </c>
      <c r="F148" s="3" t="s">
        <v>150</v>
      </c>
      <c r="G148" s="3">
        <v>0</v>
      </c>
      <c r="H148" s="4">
        <v>3281.55</v>
      </c>
      <c r="I148" s="11">
        <v>0</v>
      </c>
    </row>
    <row r="149" spans="1:9" x14ac:dyDescent="0.25">
      <c r="A149" s="9">
        <v>2023</v>
      </c>
      <c r="B149" s="3">
        <v>8</v>
      </c>
      <c r="C149" s="3">
        <v>13210101133</v>
      </c>
      <c r="D149" s="3">
        <v>6</v>
      </c>
      <c r="E149" s="3">
        <v>1246</v>
      </c>
      <c r="F149" s="3" t="s">
        <v>151</v>
      </c>
      <c r="G149" s="3">
        <v>0</v>
      </c>
      <c r="H149" s="4">
        <v>681178.2</v>
      </c>
      <c r="I149" s="11">
        <v>0</v>
      </c>
    </row>
    <row r="150" spans="1:9" x14ac:dyDescent="0.25">
      <c r="A150" s="9">
        <v>2023</v>
      </c>
      <c r="B150" s="3">
        <v>8</v>
      </c>
      <c r="C150" s="3">
        <v>13210101134</v>
      </c>
      <c r="D150" s="3">
        <v>1</v>
      </c>
      <c r="E150" s="3">
        <v>1247</v>
      </c>
      <c r="F150" s="3" t="s">
        <v>152</v>
      </c>
      <c r="G150" s="3">
        <v>0</v>
      </c>
      <c r="H150" s="4">
        <v>29127.05</v>
      </c>
      <c r="I150" s="11">
        <v>0</v>
      </c>
    </row>
    <row r="151" spans="1:9" x14ac:dyDescent="0.25">
      <c r="A151" s="9">
        <v>2023</v>
      </c>
      <c r="B151" s="3">
        <v>8</v>
      </c>
      <c r="C151" s="3">
        <v>13210101135</v>
      </c>
      <c r="D151" s="3">
        <v>2</v>
      </c>
      <c r="E151" s="3">
        <v>1248</v>
      </c>
      <c r="F151" s="3" t="s">
        <v>153</v>
      </c>
      <c r="G151" s="3">
        <v>0</v>
      </c>
      <c r="H151" s="4">
        <v>25292.93</v>
      </c>
      <c r="I151" s="11">
        <v>0</v>
      </c>
    </row>
    <row r="152" spans="1:9" x14ac:dyDescent="0.25">
      <c r="A152" s="9">
        <v>2023</v>
      </c>
      <c r="B152" s="3">
        <v>8</v>
      </c>
      <c r="C152" s="3">
        <v>13210101137</v>
      </c>
      <c r="D152" s="3">
        <v>2</v>
      </c>
      <c r="E152" s="3">
        <v>1250</v>
      </c>
      <c r="F152" s="3" t="s">
        <v>154</v>
      </c>
      <c r="G152" s="3">
        <v>0</v>
      </c>
      <c r="H152" s="3">
        <v>78.47</v>
      </c>
      <c r="I152" s="11">
        <v>0</v>
      </c>
    </row>
    <row r="153" spans="1:9" x14ac:dyDescent="0.25">
      <c r="A153" s="9">
        <v>2023</v>
      </c>
      <c r="B153" s="3">
        <v>8</v>
      </c>
      <c r="C153" s="3">
        <v>13210101138</v>
      </c>
      <c r="D153" s="3">
        <v>5</v>
      </c>
      <c r="E153" s="3">
        <v>1251</v>
      </c>
      <c r="F153" s="3" t="s">
        <v>155</v>
      </c>
      <c r="G153" s="3">
        <v>0</v>
      </c>
      <c r="H153" s="3">
        <v>326.87</v>
      </c>
      <c r="I153" s="11">
        <v>0</v>
      </c>
    </row>
    <row r="154" spans="1:9" x14ac:dyDescent="0.25">
      <c r="A154" s="9">
        <v>2023</v>
      </c>
      <c r="B154" s="3">
        <v>8</v>
      </c>
      <c r="C154" s="3">
        <v>13210101140</v>
      </c>
      <c r="D154" s="3">
        <v>3</v>
      </c>
      <c r="E154" s="3">
        <v>1254</v>
      </c>
      <c r="F154" s="3" t="s">
        <v>156</v>
      </c>
      <c r="G154" s="3">
        <v>0</v>
      </c>
      <c r="H154" s="4">
        <v>533832.25</v>
      </c>
      <c r="I154" s="10">
        <v>447000</v>
      </c>
    </row>
    <row r="155" spans="1:9" x14ac:dyDescent="0.25">
      <c r="A155" s="9">
        <v>2023</v>
      </c>
      <c r="B155" s="3">
        <v>8</v>
      </c>
      <c r="C155" s="3">
        <v>13210101141</v>
      </c>
      <c r="D155" s="3">
        <v>2</v>
      </c>
      <c r="E155" s="3">
        <v>1263</v>
      </c>
      <c r="F155" s="3" t="s">
        <v>157</v>
      </c>
      <c r="G155" s="3">
        <v>0</v>
      </c>
      <c r="H155" s="3">
        <v>238.12</v>
      </c>
      <c r="I155" s="11">
        <v>0</v>
      </c>
    </row>
    <row r="156" spans="1:9" x14ac:dyDescent="0.25">
      <c r="A156" s="9">
        <v>2023</v>
      </c>
      <c r="B156" s="3">
        <v>8</v>
      </c>
      <c r="C156" s="3">
        <v>13210101142</v>
      </c>
      <c r="D156" s="3">
        <v>5</v>
      </c>
      <c r="E156" s="3">
        <v>1255</v>
      </c>
      <c r="F156" s="3" t="s">
        <v>158</v>
      </c>
      <c r="G156" s="3">
        <v>0</v>
      </c>
      <c r="H156" s="4">
        <v>32733.34</v>
      </c>
      <c r="I156" s="11">
        <v>0</v>
      </c>
    </row>
    <row r="157" spans="1:9" x14ac:dyDescent="0.25">
      <c r="A157" s="9">
        <v>2023</v>
      </c>
      <c r="B157" s="3">
        <v>8</v>
      </c>
      <c r="C157" s="3">
        <v>13210101144</v>
      </c>
      <c r="D157" s="3">
        <v>5</v>
      </c>
      <c r="E157" s="3">
        <v>1261</v>
      </c>
      <c r="F157" s="3" t="s">
        <v>159</v>
      </c>
      <c r="G157" s="3">
        <v>0</v>
      </c>
      <c r="H157" s="3">
        <v>605.78</v>
      </c>
      <c r="I157" s="11">
        <v>0</v>
      </c>
    </row>
    <row r="158" spans="1:9" x14ac:dyDescent="0.25">
      <c r="A158" s="9">
        <v>2023</v>
      </c>
      <c r="B158" s="3">
        <v>8</v>
      </c>
      <c r="C158" s="3">
        <v>13210101145</v>
      </c>
      <c r="D158" s="3">
        <v>2</v>
      </c>
      <c r="E158" s="3">
        <v>1262</v>
      </c>
      <c r="F158" s="3" t="s">
        <v>160</v>
      </c>
      <c r="G158" s="3">
        <v>0</v>
      </c>
      <c r="H158" s="4">
        <v>18638.3</v>
      </c>
      <c r="I158" s="11">
        <v>0</v>
      </c>
    </row>
    <row r="159" spans="1:9" x14ac:dyDescent="0.25">
      <c r="A159" s="9">
        <v>2023</v>
      </c>
      <c r="B159" s="3">
        <v>8</v>
      </c>
      <c r="C159" s="3">
        <v>13210101146</v>
      </c>
      <c r="D159" s="3">
        <v>6</v>
      </c>
      <c r="E159" s="3">
        <v>1253</v>
      </c>
      <c r="F159" s="3" t="s">
        <v>161</v>
      </c>
      <c r="G159" s="3">
        <v>0</v>
      </c>
      <c r="H159" s="4">
        <v>1267.79</v>
      </c>
      <c r="I159" s="11">
        <v>0</v>
      </c>
    </row>
    <row r="160" spans="1:9" x14ac:dyDescent="0.25">
      <c r="A160" s="9">
        <v>2023</v>
      </c>
      <c r="B160" s="3">
        <v>8</v>
      </c>
      <c r="C160" s="3">
        <v>13210101147</v>
      </c>
      <c r="D160" s="3">
        <v>2</v>
      </c>
      <c r="E160" s="3">
        <v>1264</v>
      </c>
      <c r="F160" s="3" t="s">
        <v>162</v>
      </c>
      <c r="G160" s="3">
        <v>0</v>
      </c>
      <c r="H160" s="4">
        <v>6000.05</v>
      </c>
      <c r="I160" s="11">
        <v>0</v>
      </c>
    </row>
    <row r="161" spans="1:9" x14ac:dyDescent="0.25">
      <c r="A161" s="9">
        <v>2023</v>
      </c>
      <c r="B161" s="3">
        <v>8</v>
      </c>
      <c r="C161" s="3">
        <v>13210101148</v>
      </c>
      <c r="D161" s="3">
        <v>5</v>
      </c>
      <c r="E161" s="3">
        <v>1265</v>
      </c>
      <c r="F161" s="3" t="s">
        <v>163</v>
      </c>
      <c r="G161" s="3">
        <v>0</v>
      </c>
      <c r="H161" s="4">
        <v>15936.33</v>
      </c>
      <c r="I161" s="11">
        <v>0</v>
      </c>
    </row>
    <row r="162" spans="1:9" x14ac:dyDescent="0.25">
      <c r="A162" s="9">
        <v>2023</v>
      </c>
      <c r="B162" s="3">
        <v>8</v>
      </c>
      <c r="C162" s="3">
        <v>13210101149</v>
      </c>
      <c r="D162" s="3">
        <v>6</v>
      </c>
      <c r="E162" s="3">
        <v>1266</v>
      </c>
      <c r="F162" s="3" t="s">
        <v>164</v>
      </c>
      <c r="G162" s="3">
        <v>0</v>
      </c>
      <c r="H162" s="4">
        <v>1284540.8500000001</v>
      </c>
      <c r="I162" s="11">
        <v>0</v>
      </c>
    </row>
    <row r="163" spans="1:9" x14ac:dyDescent="0.25">
      <c r="A163" s="9">
        <v>2023</v>
      </c>
      <c r="B163" s="3">
        <v>8</v>
      </c>
      <c r="C163" s="3">
        <v>13210101150</v>
      </c>
      <c r="D163" s="3">
        <v>5</v>
      </c>
      <c r="E163" s="3">
        <v>1267</v>
      </c>
      <c r="F163" s="3" t="s">
        <v>165</v>
      </c>
      <c r="G163" s="3">
        <v>0</v>
      </c>
      <c r="H163" s="4">
        <v>21061.25</v>
      </c>
      <c r="I163" s="10">
        <v>36000</v>
      </c>
    </row>
    <row r="164" spans="1:9" x14ac:dyDescent="0.25">
      <c r="A164" s="9">
        <v>2023</v>
      </c>
      <c r="B164" s="3">
        <v>8</v>
      </c>
      <c r="C164" s="3">
        <v>13210101151</v>
      </c>
      <c r="D164" s="3">
        <v>1</v>
      </c>
      <c r="E164" s="3">
        <v>1268</v>
      </c>
      <c r="F164" s="3" t="s">
        <v>166</v>
      </c>
      <c r="G164" s="3">
        <v>0</v>
      </c>
      <c r="H164" s="4">
        <v>11705.39</v>
      </c>
      <c r="I164" s="11">
        <v>0</v>
      </c>
    </row>
    <row r="165" spans="1:9" x14ac:dyDescent="0.25">
      <c r="A165" s="9">
        <v>2023</v>
      </c>
      <c r="B165" s="3">
        <v>8</v>
      </c>
      <c r="C165" s="3">
        <v>13210101152</v>
      </c>
      <c r="D165" s="3">
        <v>5</v>
      </c>
      <c r="E165" s="3">
        <v>1269</v>
      </c>
      <c r="F165" s="3" t="s">
        <v>167</v>
      </c>
      <c r="G165" s="3">
        <v>0</v>
      </c>
      <c r="H165" s="4">
        <v>1578.73</v>
      </c>
      <c r="I165" s="11">
        <v>0</v>
      </c>
    </row>
    <row r="166" spans="1:9" x14ac:dyDescent="0.25">
      <c r="A166" s="9">
        <v>2023</v>
      </c>
      <c r="B166" s="3">
        <v>8</v>
      </c>
      <c r="C166" s="3">
        <v>13210101153</v>
      </c>
      <c r="D166" s="3">
        <v>2</v>
      </c>
      <c r="E166" s="3">
        <v>1270</v>
      </c>
      <c r="F166" s="3" t="s">
        <v>168</v>
      </c>
      <c r="G166" s="3">
        <v>0</v>
      </c>
      <c r="H166" s="3">
        <v>145.08000000000001</v>
      </c>
      <c r="I166" s="11">
        <v>0</v>
      </c>
    </row>
    <row r="167" spans="1:9" x14ac:dyDescent="0.25">
      <c r="A167" s="9">
        <v>2023</v>
      </c>
      <c r="B167" s="3">
        <v>8</v>
      </c>
      <c r="C167" s="3">
        <v>13210101154</v>
      </c>
      <c r="D167" s="3">
        <v>2</v>
      </c>
      <c r="E167" s="3">
        <v>1271</v>
      </c>
      <c r="F167" s="3" t="s">
        <v>169</v>
      </c>
      <c r="G167" s="3">
        <v>0</v>
      </c>
      <c r="H167" s="4">
        <v>4853.22</v>
      </c>
      <c r="I167" s="11">
        <v>0</v>
      </c>
    </row>
    <row r="168" spans="1:9" x14ac:dyDescent="0.25">
      <c r="A168" s="9">
        <v>2023</v>
      </c>
      <c r="B168" s="3">
        <v>8</v>
      </c>
      <c r="C168" s="3">
        <v>13210101157</v>
      </c>
      <c r="D168" s="3">
        <v>2</v>
      </c>
      <c r="E168" s="3">
        <v>1274</v>
      </c>
      <c r="F168" s="3" t="s">
        <v>170</v>
      </c>
      <c r="G168" s="3">
        <v>0</v>
      </c>
      <c r="H168" s="4">
        <v>164693.16</v>
      </c>
      <c r="I168" s="10">
        <v>240000</v>
      </c>
    </row>
    <row r="169" spans="1:9" x14ac:dyDescent="0.25">
      <c r="A169" s="9">
        <v>2023</v>
      </c>
      <c r="B169" s="3">
        <v>8</v>
      </c>
      <c r="C169" s="3">
        <v>13210101158</v>
      </c>
      <c r="D169" s="3">
        <v>2</v>
      </c>
      <c r="E169" s="3">
        <v>1278</v>
      </c>
      <c r="F169" s="3" t="s">
        <v>171</v>
      </c>
      <c r="G169" s="3">
        <v>0</v>
      </c>
      <c r="H169" s="4">
        <v>52213.48</v>
      </c>
      <c r="I169" s="11">
        <v>0</v>
      </c>
    </row>
    <row r="170" spans="1:9" x14ac:dyDescent="0.25">
      <c r="A170" s="9">
        <v>2023</v>
      </c>
      <c r="B170" s="3">
        <v>8</v>
      </c>
      <c r="C170" s="3">
        <v>13210101159</v>
      </c>
      <c r="D170" s="3">
        <v>5</v>
      </c>
      <c r="E170" s="3">
        <v>1277</v>
      </c>
      <c r="F170" s="3" t="s">
        <v>172</v>
      </c>
      <c r="G170" s="3">
        <v>0</v>
      </c>
      <c r="H170" s="4">
        <v>3304.77</v>
      </c>
      <c r="I170" s="11">
        <v>0</v>
      </c>
    </row>
    <row r="171" spans="1:9" x14ac:dyDescent="0.25">
      <c r="A171" s="9">
        <v>2023</v>
      </c>
      <c r="B171" s="3">
        <v>8</v>
      </c>
      <c r="C171" s="3">
        <v>13210101160</v>
      </c>
      <c r="D171" s="3">
        <v>2</v>
      </c>
      <c r="E171" s="3">
        <v>1012</v>
      </c>
      <c r="F171" s="3" t="s">
        <v>173</v>
      </c>
      <c r="G171" s="3">
        <v>0</v>
      </c>
      <c r="H171" s="4">
        <v>5167.51</v>
      </c>
      <c r="I171" s="11">
        <v>0</v>
      </c>
    </row>
    <row r="172" spans="1:9" x14ac:dyDescent="0.25">
      <c r="A172" s="9">
        <v>2023</v>
      </c>
      <c r="B172" s="3">
        <v>8</v>
      </c>
      <c r="C172" s="3">
        <v>13210101161</v>
      </c>
      <c r="D172" s="3">
        <v>2</v>
      </c>
      <c r="E172" s="3">
        <v>1013</v>
      </c>
      <c r="F172" s="3" t="s">
        <v>174</v>
      </c>
      <c r="G172" s="3">
        <v>0</v>
      </c>
      <c r="H172" s="4">
        <v>1121.24</v>
      </c>
      <c r="I172" s="11">
        <v>0</v>
      </c>
    </row>
    <row r="173" spans="1:9" x14ac:dyDescent="0.25">
      <c r="A173" s="9">
        <v>2023</v>
      </c>
      <c r="B173" s="3">
        <v>8</v>
      </c>
      <c r="C173" s="3">
        <v>13210101162</v>
      </c>
      <c r="D173" s="3">
        <v>5</v>
      </c>
      <c r="E173" s="3">
        <v>1256</v>
      </c>
      <c r="F173" s="3" t="s">
        <v>175</v>
      </c>
      <c r="G173" s="3">
        <v>0</v>
      </c>
      <c r="H173" s="4">
        <v>181158.93</v>
      </c>
      <c r="I173" s="11">
        <v>0</v>
      </c>
    </row>
    <row r="174" spans="1:9" x14ac:dyDescent="0.25">
      <c r="A174" s="9">
        <v>2023</v>
      </c>
      <c r="B174" s="3">
        <v>8</v>
      </c>
      <c r="C174" s="3">
        <v>13210101163</v>
      </c>
      <c r="D174" s="3">
        <v>2</v>
      </c>
      <c r="E174" s="3">
        <v>1014</v>
      </c>
      <c r="F174" s="3" t="s">
        <v>176</v>
      </c>
      <c r="G174" s="3">
        <v>0</v>
      </c>
      <c r="H174" s="4">
        <v>2971.23</v>
      </c>
      <c r="I174" s="11">
        <v>0</v>
      </c>
    </row>
    <row r="175" spans="1:9" x14ac:dyDescent="0.25">
      <c r="A175" s="9">
        <v>2023</v>
      </c>
      <c r="B175" s="3">
        <v>8</v>
      </c>
      <c r="C175" s="3">
        <v>13210101164</v>
      </c>
      <c r="D175" s="3">
        <v>2</v>
      </c>
      <c r="E175" s="3">
        <v>1283</v>
      </c>
      <c r="F175" s="3" t="s">
        <v>177</v>
      </c>
      <c r="G175" s="3">
        <v>0</v>
      </c>
      <c r="H175" s="4">
        <v>95089.03</v>
      </c>
      <c r="I175" s="11">
        <v>0</v>
      </c>
    </row>
    <row r="176" spans="1:9" x14ac:dyDescent="0.25">
      <c r="A176" s="9">
        <v>2023</v>
      </c>
      <c r="B176" s="3">
        <v>8</v>
      </c>
      <c r="C176" s="3">
        <v>13210101165</v>
      </c>
      <c r="D176" s="3">
        <v>2</v>
      </c>
      <c r="E176" s="3">
        <v>1284</v>
      </c>
      <c r="F176" s="3" t="s">
        <v>178</v>
      </c>
      <c r="G176" s="3">
        <v>0</v>
      </c>
      <c r="H176" s="4">
        <v>84380.81</v>
      </c>
      <c r="I176" s="11">
        <v>0</v>
      </c>
    </row>
    <row r="177" spans="1:9" x14ac:dyDescent="0.25">
      <c r="A177" s="9">
        <v>2023</v>
      </c>
      <c r="B177" s="3">
        <v>8</v>
      </c>
      <c r="C177" s="3">
        <v>13210101166</v>
      </c>
      <c r="D177" s="3">
        <v>2</v>
      </c>
      <c r="E177" s="3">
        <v>1285</v>
      </c>
      <c r="F177" s="3" t="s">
        <v>179</v>
      </c>
      <c r="G177" s="3">
        <v>0</v>
      </c>
      <c r="H177" s="4">
        <v>25330.59</v>
      </c>
      <c r="I177" s="11">
        <v>0</v>
      </c>
    </row>
    <row r="178" spans="1:9" x14ac:dyDescent="0.25">
      <c r="A178" s="9">
        <v>2023</v>
      </c>
      <c r="B178" s="3">
        <v>8</v>
      </c>
      <c r="C178" s="3">
        <v>13210101167</v>
      </c>
      <c r="D178" s="3">
        <v>2</v>
      </c>
      <c r="E178" s="3">
        <v>1016</v>
      </c>
      <c r="F178" s="3" t="s">
        <v>180</v>
      </c>
      <c r="G178" s="3">
        <v>0</v>
      </c>
      <c r="H178" s="3">
        <v>107.86</v>
      </c>
      <c r="I178" s="11">
        <v>0</v>
      </c>
    </row>
    <row r="179" spans="1:9" x14ac:dyDescent="0.25">
      <c r="A179" s="9">
        <v>2023</v>
      </c>
      <c r="B179" s="3">
        <v>8</v>
      </c>
      <c r="C179" s="3">
        <v>13210101168</v>
      </c>
      <c r="D179" s="3">
        <v>5</v>
      </c>
      <c r="E179" s="3">
        <v>1282</v>
      </c>
      <c r="F179" s="3" t="s">
        <v>181</v>
      </c>
      <c r="G179" s="3">
        <v>0</v>
      </c>
      <c r="H179" s="4">
        <v>4818.03</v>
      </c>
      <c r="I179" s="11">
        <v>0</v>
      </c>
    </row>
    <row r="180" spans="1:9" x14ac:dyDescent="0.25">
      <c r="A180" s="9">
        <v>2023</v>
      </c>
      <c r="B180" s="3">
        <v>8</v>
      </c>
      <c r="C180" s="3">
        <v>13210101169</v>
      </c>
      <c r="D180" s="3">
        <v>1</v>
      </c>
      <c r="E180" s="3">
        <v>1286</v>
      </c>
      <c r="F180" s="3" t="s">
        <v>182</v>
      </c>
      <c r="G180" s="3">
        <v>0</v>
      </c>
      <c r="H180" s="4">
        <v>48331.86</v>
      </c>
      <c r="I180" s="11">
        <v>0</v>
      </c>
    </row>
    <row r="181" spans="1:9" x14ac:dyDescent="0.25">
      <c r="A181" s="9">
        <v>2023</v>
      </c>
      <c r="B181" s="3">
        <v>8</v>
      </c>
      <c r="C181" s="3">
        <v>13210101170</v>
      </c>
      <c r="D181" s="3">
        <v>5</v>
      </c>
      <c r="E181" s="3">
        <v>1000</v>
      </c>
      <c r="F181" s="3" t="s">
        <v>183</v>
      </c>
      <c r="G181" s="3">
        <v>0</v>
      </c>
      <c r="H181" s="4">
        <v>9091.42</v>
      </c>
      <c r="I181" s="11">
        <v>0</v>
      </c>
    </row>
    <row r="182" spans="1:9" x14ac:dyDescent="0.25">
      <c r="A182" s="9">
        <v>2023</v>
      </c>
      <c r="B182" s="3">
        <v>8</v>
      </c>
      <c r="C182" s="3">
        <v>13210101171</v>
      </c>
      <c r="D182" s="3">
        <v>5</v>
      </c>
      <c r="E182" s="3">
        <v>1001</v>
      </c>
      <c r="F182" s="3" t="s">
        <v>184</v>
      </c>
      <c r="G182" s="3">
        <v>0</v>
      </c>
      <c r="H182" s="4">
        <v>63642.48</v>
      </c>
      <c r="I182" s="11">
        <v>0</v>
      </c>
    </row>
    <row r="183" spans="1:9" x14ac:dyDescent="0.25">
      <c r="A183" s="9">
        <v>2023</v>
      </c>
      <c r="B183" s="3">
        <v>8</v>
      </c>
      <c r="C183" s="3">
        <v>13210101172</v>
      </c>
      <c r="D183" s="3">
        <v>5</v>
      </c>
      <c r="E183" s="3">
        <v>1002</v>
      </c>
      <c r="F183" s="3" t="s">
        <v>185</v>
      </c>
      <c r="G183" s="3">
        <v>0</v>
      </c>
      <c r="H183" s="4">
        <v>38708.300000000003</v>
      </c>
      <c r="I183" s="11">
        <v>0</v>
      </c>
    </row>
    <row r="184" spans="1:9" x14ac:dyDescent="0.25">
      <c r="A184" s="9">
        <v>2023</v>
      </c>
      <c r="B184" s="3">
        <v>8</v>
      </c>
      <c r="C184" s="3">
        <v>13210101173</v>
      </c>
      <c r="D184" s="3">
        <v>6</v>
      </c>
      <c r="E184" s="3">
        <v>1017</v>
      </c>
      <c r="F184" s="3" t="s">
        <v>186</v>
      </c>
      <c r="G184" s="3">
        <v>0</v>
      </c>
      <c r="H184" s="4">
        <v>4942.45</v>
      </c>
      <c r="I184" s="11">
        <v>0</v>
      </c>
    </row>
    <row r="185" spans="1:9" x14ac:dyDescent="0.25">
      <c r="A185" s="9">
        <v>2023</v>
      </c>
      <c r="B185" s="3">
        <v>8</v>
      </c>
      <c r="C185" s="3">
        <v>13210101174</v>
      </c>
      <c r="D185" s="3">
        <v>2</v>
      </c>
      <c r="E185" s="3">
        <v>1003</v>
      </c>
      <c r="F185" s="3" t="s">
        <v>187</v>
      </c>
      <c r="G185" s="3">
        <v>0</v>
      </c>
      <c r="H185" s="4">
        <v>2460.6799999999998</v>
      </c>
      <c r="I185" s="11">
        <v>0</v>
      </c>
    </row>
    <row r="186" spans="1:9" x14ac:dyDescent="0.25">
      <c r="A186" s="9">
        <v>2023</v>
      </c>
      <c r="B186" s="3">
        <v>8</v>
      </c>
      <c r="C186" s="3">
        <v>13210101175</v>
      </c>
      <c r="D186" s="3">
        <v>5</v>
      </c>
      <c r="E186" s="3">
        <v>1004</v>
      </c>
      <c r="F186" s="3" t="s">
        <v>188</v>
      </c>
      <c r="G186" s="3">
        <v>0</v>
      </c>
      <c r="H186" s="3">
        <v>942.23</v>
      </c>
      <c r="I186" s="11">
        <v>0</v>
      </c>
    </row>
    <row r="187" spans="1:9" x14ac:dyDescent="0.25">
      <c r="A187" s="9">
        <v>2023</v>
      </c>
      <c r="B187" s="3">
        <v>8</v>
      </c>
      <c r="C187" s="3">
        <v>13210101176</v>
      </c>
      <c r="D187" s="3">
        <v>5</v>
      </c>
      <c r="E187" s="3">
        <v>1005</v>
      </c>
      <c r="F187" s="3" t="s">
        <v>189</v>
      </c>
      <c r="G187" s="3">
        <v>0</v>
      </c>
      <c r="H187" s="4">
        <v>1346.64</v>
      </c>
      <c r="I187" s="11">
        <v>0</v>
      </c>
    </row>
    <row r="188" spans="1:9" x14ac:dyDescent="0.25">
      <c r="A188" s="9">
        <v>2023</v>
      </c>
      <c r="B188" s="3">
        <v>8</v>
      </c>
      <c r="C188" s="3">
        <v>13210101179</v>
      </c>
      <c r="D188" s="3">
        <v>5</v>
      </c>
      <c r="E188" s="3">
        <v>1008</v>
      </c>
      <c r="F188" s="3" t="s">
        <v>190</v>
      </c>
      <c r="G188" s="3">
        <v>66.239999999999995</v>
      </c>
      <c r="H188" s="3">
        <v>66.239999999999995</v>
      </c>
      <c r="I188" s="11">
        <v>0</v>
      </c>
    </row>
    <row r="189" spans="1:9" x14ac:dyDescent="0.25">
      <c r="A189" s="9">
        <v>2023</v>
      </c>
      <c r="B189" s="3">
        <v>8</v>
      </c>
      <c r="C189" s="3">
        <v>13220000000</v>
      </c>
      <c r="D189" s="3"/>
      <c r="E189" s="3"/>
      <c r="F189" s="3" t="s">
        <v>191</v>
      </c>
      <c r="G189" s="3">
        <v>0</v>
      </c>
      <c r="H189" s="4">
        <v>34452.019999999997</v>
      </c>
      <c r="I189" s="10">
        <v>99000</v>
      </c>
    </row>
    <row r="190" spans="1:9" x14ac:dyDescent="0.25">
      <c r="A190" s="9">
        <v>2023</v>
      </c>
      <c r="B190" s="3">
        <v>8</v>
      </c>
      <c r="C190" s="3">
        <v>13220100000</v>
      </c>
      <c r="D190" s="3"/>
      <c r="E190" s="3"/>
      <c r="F190" s="3" t="s">
        <v>191</v>
      </c>
      <c r="G190" s="3">
        <v>0</v>
      </c>
      <c r="H190" s="4">
        <v>34452.019999999997</v>
      </c>
      <c r="I190" s="10">
        <v>99000</v>
      </c>
    </row>
    <row r="191" spans="1:9" x14ac:dyDescent="0.25">
      <c r="A191" s="9">
        <v>2023</v>
      </c>
      <c r="B191" s="3">
        <v>8</v>
      </c>
      <c r="C191" s="3">
        <v>13220101001</v>
      </c>
      <c r="D191" s="3">
        <v>1</v>
      </c>
      <c r="E191" s="3">
        <v>1058</v>
      </c>
      <c r="F191" s="3" t="s">
        <v>192</v>
      </c>
      <c r="G191" s="3">
        <v>0</v>
      </c>
      <c r="H191" s="4">
        <v>34452.019999999997</v>
      </c>
      <c r="I191" s="10">
        <v>99000</v>
      </c>
    </row>
    <row r="192" spans="1:9" x14ac:dyDescent="0.25">
      <c r="A192" s="9">
        <v>2023</v>
      </c>
      <c r="B192" s="3">
        <v>8</v>
      </c>
      <c r="C192" s="3">
        <v>17000000000</v>
      </c>
      <c r="D192" s="3"/>
      <c r="E192" s="3"/>
      <c r="F192" s="3" t="s">
        <v>193</v>
      </c>
      <c r="G192" s="4">
        <v>190973839.03999999</v>
      </c>
      <c r="H192" s="4">
        <v>1635207119.04</v>
      </c>
      <c r="I192" s="10">
        <v>2486335000</v>
      </c>
    </row>
    <row r="193" spans="1:9" x14ac:dyDescent="0.25">
      <c r="A193" s="9">
        <v>2023</v>
      </c>
      <c r="B193" s="3">
        <v>8</v>
      </c>
      <c r="C193" s="3">
        <v>17100000000</v>
      </c>
      <c r="D193" s="3"/>
      <c r="E193" s="3"/>
      <c r="F193" s="3" t="s">
        <v>194</v>
      </c>
      <c r="G193" s="4">
        <v>32576280.190000001</v>
      </c>
      <c r="H193" s="4">
        <v>269358751.26999998</v>
      </c>
      <c r="I193" s="10">
        <v>389736000</v>
      </c>
    </row>
    <row r="194" spans="1:9" x14ac:dyDescent="0.25">
      <c r="A194" s="9">
        <v>2023</v>
      </c>
      <c r="B194" s="3">
        <v>8</v>
      </c>
      <c r="C194" s="3">
        <v>17110000000</v>
      </c>
      <c r="D194" s="3"/>
      <c r="E194" s="3"/>
      <c r="F194" s="3" t="s">
        <v>195</v>
      </c>
      <c r="G194" s="4">
        <v>8221710.6500000004</v>
      </c>
      <c r="H194" s="4">
        <v>81275661.390000001</v>
      </c>
      <c r="I194" s="10">
        <v>122321000</v>
      </c>
    </row>
    <row r="195" spans="1:9" x14ac:dyDescent="0.25">
      <c r="A195" s="9">
        <v>2023</v>
      </c>
      <c r="B195" s="3">
        <v>8</v>
      </c>
      <c r="C195" s="3">
        <v>17115100000</v>
      </c>
      <c r="D195" s="3"/>
      <c r="E195" s="3"/>
      <c r="F195" s="3" t="s">
        <v>196</v>
      </c>
      <c r="G195" s="4">
        <v>8214419.96</v>
      </c>
      <c r="H195" s="4">
        <v>81230762.540000007</v>
      </c>
      <c r="I195" s="10">
        <v>122033000</v>
      </c>
    </row>
    <row r="196" spans="1:9" x14ac:dyDescent="0.25">
      <c r="A196" s="9">
        <v>2023</v>
      </c>
      <c r="B196" s="3">
        <v>8</v>
      </c>
      <c r="C196" s="3">
        <v>17115110000</v>
      </c>
      <c r="D196" s="3"/>
      <c r="E196" s="3"/>
      <c r="F196" s="3" t="s">
        <v>197</v>
      </c>
      <c r="G196" s="4">
        <v>8214419.96</v>
      </c>
      <c r="H196" s="4">
        <v>76287694.629999995</v>
      </c>
      <c r="I196" s="10">
        <v>112637000</v>
      </c>
    </row>
    <row r="197" spans="1:9" x14ac:dyDescent="0.25">
      <c r="A197" s="9">
        <v>2023</v>
      </c>
      <c r="B197" s="3">
        <v>8</v>
      </c>
      <c r="C197" s="3">
        <v>17115111001</v>
      </c>
      <c r="D197" s="3">
        <v>1</v>
      </c>
      <c r="E197" s="3">
        <v>1163</v>
      </c>
      <c r="F197" s="3" t="s">
        <v>198</v>
      </c>
      <c r="G197" s="4">
        <v>8214419.96</v>
      </c>
      <c r="H197" s="4">
        <v>76287694.629999995</v>
      </c>
      <c r="I197" s="10">
        <v>112637000</v>
      </c>
    </row>
    <row r="198" spans="1:9" x14ac:dyDescent="0.25">
      <c r="A198" s="9">
        <v>2023</v>
      </c>
      <c r="B198" s="3">
        <v>8</v>
      </c>
      <c r="C198" s="3">
        <v>17115120000</v>
      </c>
      <c r="D198" s="3"/>
      <c r="E198" s="3"/>
      <c r="F198" s="3" t="s">
        <v>199</v>
      </c>
      <c r="G198" s="3">
        <v>0</v>
      </c>
      <c r="H198" s="4">
        <v>4943067.91</v>
      </c>
      <c r="I198" s="10">
        <v>9396000</v>
      </c>
    </row>
    <row r="199" spans="1:9" x14ac:dyDescent="0.25">
      <c r="A199" s="9">
        <v>2023</v>
      </c>
      <c r="B199" s="3">
        <v>8</v>
      </c>
      <c r="C199" s="3">
        <v>17115121001</v>
      </c>
      <c r="D199" s="3">
        <v>1</v>
      </c>
      <c r="E199" s="3">
        <v>2962</v>
      </c>
      <c r="F199" s="3" t="s">
        <v>200</v>
      </c>
      <c r="G199" s="3">
        <v>0</v>
      </c>
      <c r="H199" s="3">
        <v>0</v>
      </c>
      <c r="I199" s="10">
        <v>4465000</v>
      </c>
    </row>
    <row r="200" spans="1:9" x14ac:dyDescent="0.25">
      <c r="A200" s="9">
        <v>2023</v>
      </c>
      <c r="B200" s="3">
        <v>8</v>
      </c>
      <c r="C200" s="3">
        <v>17115121002</v>
      </c>
      <c r="D200" s="3">
        <v>1</v>
      </c>
      <c r="E200" s="3">
        <v>2961</v>
      </c>
      <c r="F200" s="3" t="s">
        <v>201</v>
      </c>
      <c r="G200" s="3">
        <v>0</v>
      </c>
      <c r="H200" s="4">
        <v>4943067.91</v>
      </c>
      <c r="I200" s="10">
        <v>3945000</v>
      </c>
    </row>
    <row r="201" spans="1:9" x14ac:dyDescent="0.25">
      <c r="A201" s="9">
        <v>2023</v>
      </c>
      <c r="B201" s="3">
        <v>8</v>
      </c>
      <c r="C201" s="3">
        <v>17115121003</v>
      </c>
      <c r="D201" s="3">
        <v>1</v>
      </c>
      <c r="E201" s="3">
        <v>2013</v>
      </c>
      <c r="F201" s="3" t="s">
        <v>202</v>
      </c>
      <c r="G201" s="3">
        <v>0</v>
      </c>
      <c r="H201" s="3">
        <v>0</v>
      </c>
      <c r="I201" s="10">
        <v>986000</v>
      </c>
    </row>
    <row r="202" spans="1:9" x14ac:dyDescent="0.25">
      <c r="A202" s="9">
        <v>2023</v>
      </c>
      <c r="B202" s="3">
        <v>8</v>
      </c>
      <c r="C202" s="3">
        <v>17115200000</v>
      </c>
      <c r="D202" s="3"/>
      <c r="E202" s="3"/>
      <c r="F202" s="3" t="s">
        <v>203</v>
      </c>
      <c r="G202" s="4">
        <v>7290.69</v>
      </c>
      <c r="H202" s="4">
        <v>44898.85</v>
      </c>
      <c r="I202" s="10">
        <v>288000</v>
      </c>
    </row>
    <row r="203" spans="1:9" x14ac:dyDescent="0.25">
      <c r="A203" s="9">
        <v>2023</v>
      </c>
      <c r="B203" s="3">
        <v>8</v>
      </c>
      <c r="C203" s="3">
        <v>17115201001</v>
      </c>
      <c r="D203" s="3">
        <v>1</v>
      </c>
      <c r="E203" s="3">
        <v>1198</v>
      </c>
      <c r="F203" s="3" t="s">
        <v>204</v>
      </c>
      <c r="G203" s="4">
        <v>7290.69</v>
      </c>
      <c r="H203" s="4">
        <v>44898.85</v>
      </c>
      <c r="I203" s="10">
        <v>288000</v>
      </c>
    </row>
    <row r="204" spans="1:9" x14ac:dyDescent="0.25">
      <c r="A204" s="9">
        <v>2023</v>
      </c>
      <c r="B204" s="3">
        <v>8</v>
      </c>
      <c r="C204" s="3">
        <v>17120000000</v>
      </c>
      <c r="D204" s="3"/>
      <c r="E204" s="3"/>
      <c r="F204" s="3" t="s">
        <v>205</v>
      </c>
      <c r="G204" s="4">
        <v>1081031.83</v>
      </c>
      <c r="H204" s="4">
        <v>9404496.1400000006</v>
      </c>
      <c r="I204" s="10">
        <v>16483000</v>
      </c>
    </row>
    <row r="205" spans="1:9" x14ac:dyDescent="0.25">
      <c r="A205" s="9">
        <v>2023</v>
      </c>
      <c r="B205" s="3">
        <v>8</v>
      </c>
      <c r="C205" s="3">
        <v>17125000000</v>
      </c>
      <c r="D205" s="3"/>
      <c r="E205" s="3"/>
      <c r="F205" s="3" t="s">
        <v>206</v>
      </c>
      <c r="G205" s="3">
        <v>0</v>
      </c>
      <c r="H205" s="4">
        <v>129827.66</v>
      </c>
      <c r="I205" s="10">
        <v>232000</v>
      </c>
    </row>
    <row r="206" spans="1:9" x14ac:dyDescent="0.25">
      <c r="A206" s="9">
        <v>2023</v>
      </c>
      <c r="B206" s="3">
        <v>8</v>
      </c>
      <c r="C206" s="3">
        <v>17125001001</v>
      </c>
      <c r="D206" s="3">
        <v>1</v>
      </c>
      <c r="E206" s="3">
        <v>1171</v>
      </c>
      <c r="F206" s="3" t="s">
        <v>207</v>
      </c>
      <c r="G206" s="3">
        <v>0</v>
      </c>
      <c r="H206" s="4">
        <v>129827.66</v>
      </c>
      <c r="I206" s="10">
        <v>232000</v>
      </c>
    </row>
    <row r="207" spans="1:9" x14ac:dyDescent="0.25">
      <c r="A207" s="9">
        <v>2023</v>
      </c>
      <c r="B207" s="3">
        <v>8</v>
      </c>
      <c r="C207" s="3">
        <v>17125100000</v>
      </c>
      <c r="D207" s="3"/>
      <c r="E207" s="3"/>
      <c r="F207" s="3" t="s">
        <v>208</v>
      </c>
      <c r="G207" s="4">
        <v>14308.74</v>
      </c>
      <c r="H207" s="4">
        <v>1210602.47</v>
      </c>
      <c r="I207" s="10">
        <v>2032000</v>
      </c>
    </row>
    <row r="208" spans="1:9" x14ac:dyDescent="0.25">
      <c r="A208" s="9">
        <v>2023</v>
      </c>
      <c r="B208" s="3">
        <v>8</v>
      </c>
      <c r="C208" s="3">
        <v>17125101001</v>
      </c>
      <c r="D208" s="3">
        <v>1</v>
      </c>
      <c r="E208" s="3">
        <v>2275</v>
      </c>
      <c r="F208" s="3" t="s">
        <v>209</v>
      </c>
      <c r="G208" s="4">
        <v>14308.74</v>
      </c>
      <c r="H208" s="4">
        <v>1210602.47</v>
      </c>
      <c r="I208" s="10">
        <v>2032000</v>
      </c>
    </row>
    <row r="209" spans="1:9" x14ac:dyDescent="0.25">
      <c r="A209" s="9">
        <v>2023</v>
      </c>
      <c r="B209" s="3">
        <v>8</v>
      </c>
      <c r="C209" s="3">
        <v>17125200000</v>
      </c>
      <c r="D209" s="3"/>
      <c r="E209" s="3"/>
      <c r="F209" s="3" t="s">
        <v>210</v>
      </c>
      <c r="G209" s="4">
        <v>1066723.0900000001</v>
      </c>
      <c r="H209" s="4">
        <v>8064066.0099999998</v>
      </c>
      <c r="I209" s="10">
        <v>14219000</v>
      </c>
    </row>
    <row r="210" spans="1:9" x14ac:dyDescent="0.25">
      <c r="A210" s="9">
        <v>2023</v>
      </c>
      <c r="B210" s="3">
        <v>8</v>
      </c>
      <c r="C210" s="3">
        <v>17125210000</v>
      </c>
      <c r="D210" s="3"/>
      <c r="E210" s="3"/>
      <c r="F210" s="3" t="s">
        <v>211</v>
      </c>
      <c r="G210" s="4">
        <v>850401.91</v>
      </c>
      <c r="H210" s="4">
        <v>6507962.5599999996</v>
      </c>
      <c r="I210" s="10">
        <v>11143000</v>
      </c>
    </row>
    <row r="211" spans="1:9" x14ac:dyDescent="0.25">
      <c r="A211" s="9">
        <v>2023</v>
      </c>
      <c r="B211" s="3">
        <v>8</v>
      </c>
      <c r="C211" s="3">
        <v>17125211001</v>
      </c>
      <c r="D211" s="3">
        <v>1</v>
      </c>
      <c r="E211" s="3">
        <v>1201</v>
      </c>
      <c r="F211" s="3" t="s">
        <v>212</v>
      </c>
      <c r="G211" s="4">
        <v>850401.91</v>
      </c>
      <c r="H211" s="4">
        <v>6507962.5599999996</v>
      </c>
      <c r="I211" s="10">
        <v>11143000</v>
      </c>
    </row>
    <row r="212" spans="1:9" x14ac:dyDescent="0.25">
      <c r="A212" s="9">
        <v>2023</v>
      </c>
      <c r="B212" s="3">
        <v>8</v>
      </c>
      <c r="C212" s="3">
        <v>17125220000</v>
      </c>
      <c r="D212" s="3"/>
      <c r="E212" s="3"/>
      <c r="F212" s="3" t="s">
        <v>213</v>
      </c>
      <c r="G212" s="4">
        <v>41349.03</v>
      </c>
      <c r="H212" s="4">
        <v>227060.3</v>
      </c>
      <c r="I212" s="10">
        <v>444000</v>
      </c>
    </row>
    <row r="213" spans="1:9" x14ac:dyDescent="0.25">
      <c r="A213" s="9">
        <v>2023</v>
      </c>
      <c r="B213" s="3">
        <v>8</v>
      </c>
      <c r="C213" s="3">
        <v>17125221001</v>
      </c>
      <c r="D213" s="3">
        <v>1</v>
      </c>
      <c r="E213" s="3">
        <v>1202</v>
      </c>
      <c r="F213" s="3" t="s">
        <v>214</v>
      </c>
      <c r="G213" s="4">
        <v>41349.03</v>
      </c>
      <c r="H213" s="4">
        <v>227060.3</v>
      </c>
      <c r="I213" s="10">
        <v>444000</v>
      </c>
    </row>
    <row r="214" spans="1:9" x14ac:dyDescent="0.25">
      <c r="A214" s="9">
        <v>2023</v>
      </c>
      <c r="B214" s="3">
        <v>8</v>
      </c>
      <c r="C214" s="3">
        <v>17125240000</v>
      </c>
      <c r="D214" s="3"/>
      <c r="E214" s="3"/>
      <c r="F214" s="3" t="s">
        <v>215</v>
      </c>
      <c r="G214" s="4">
        <v>174972.15</v>
      </c>
      <c r="H214" s="4">
        <v>1329043.1499999999</v>
      </c>
      <c r="I214" s="10">
        <v>2632000</v>
      </c>
    </row>
    <row r="215" spans="1:9" x14ac:dyDescent="0.25">
      <c r="A215" s="9">
        <v>2023</v>
      </c>
      <c r="B215" s="3">
        <v>8</v>
      </c>
      <c r="C215" s="3">
        <v>17125241001</v>
      </c>
      <c r="D215" s="3">
        <v>1</v>
      </c>
      <c r="E215" s="3">
        <v>1203</v>
      </c>
      <c r="F215" s="3" t="s">
        <v>216</v>
      </c>
      <c r="G215" s="4">
        <v>174972.15</v>
      </c>
      <c r="H215" s="4">
        <v>1329043.1499999999</v>
      </c>
      <c r="I215" s="10">
        <v>2632000</v>
      </c>
    </row>
    <row r="216" spans="1:9" x14ac:dyDescent="0.25">
      <c r="A216" s="9">
        <v>2023</v>
      </c>
      <c r="B216" s="3">
        <v>8</v>
      </c>
      <c r="C216" s="3">
        <v>17130000000</v>
      </c>
      <c r="D216" s="3"/>
      <c r="E216" s="3"/>
      <c r="F216" s="3" t="s">
        <v>217</v>
      </c>
      <c r="G216" s="4">
        <v>16537352.800000001</v>
      </c>
      <c r="H216" s="4">
        <v>121805564.06</v>
      </c>
      <c r="I216" s="10">
        <v>171379000</v>
      </c>
    </row>
    <row r="217" spans="1:9" x14ac:dyDescent="0.25">
      <c r="A217" s="9">
        <v>2023</v>
      </c>
      <c r="B217" s="3">
        <v>8</v>
      </c>
      <c r="C217" s="3">
        <v>17135000000</v>
      </c>
      <c r="D217" s="3"/>
      <c r="E217" s="3"/>
      <c r="F217" s="3" t="s">
        <v>218</v>
      </c>
      <c r="G217" s="4">
        <v>16537352.800000001</v>
      </c>
      <c r="H217" s="4">
        <v>121805564.06</v>
      </c>
      <c r="I217" s="10">
        <v>171379000</v>
      </c>
    </row>
    <row r="218" spans="1:9" x14ac:dyDescent="0.25">
      <c r="A218" s="9">
        <v>2023</v>
      </c>
      <c r="B218" s="3">
        <v>8</v>
      </c>
      <c r="C218" s="3">
        <v>17135010000</v>
      </c>
      <c r="D218" s="3"/>
      <c r="E218" s="3"/>
      <c r="F218" s="3" t="s">
        <v>219</v>
      </c>
      <c r="G218" s="4">
        <v>2927771.81</v>
      </c>
      <c r="H218" s="4">
        <v>22332231.82</v>
      </c>
      <c r="I218" s="10">
        <v>33000000</v>
      </c>
    </row>
    <row r="219" spans="1:9" x14ac:dyDescent="0.25">
      <c r="A219" s="9">
        <v>2023</v>
      </c>
      <c r="B219" s="3">
        <v>8</v>
      </c>
      <c r="C219" s="3">
        <v>17135011001</v>
      </c>
      <c r="D219" s="3">
        <v>5</v>
      </c>
      <c r="E219" s="3">
        <v>1420</v>
      </c>
      <c r="F219" s="3" t="s">
        <v>220</v>
      </c>
      <c r="G219" s="4">
        <v>2378651.81</v>
      </c>
      <c r="H219" s="4">
        <v>17830743.82</v>
      </c>
      <c r="I219" s="10">
        <v>25553000</v>
      </c>
    </row>
    <row r="220" spans="1:9" x14ac:dyDescent="0.25">
      <c r="A220" s="9">
        <v>2023</v>
      </c>
      <c r="B220" s="3">
        <v>8</v>
      </c>
      <c r="C220" s="3">
        <v>17135011004</v>
      </c>
      <c r="D220" s="3">
        <v>5</v>
      </c>
      <c r="E220" s="3">
        <v>2003</v>
      </c>
      <c r="F220" s="3" t="s">
        <v>221</v>
      </c>
      <c r="G220" s="4">
        <v>549120</v>
      </c>
      <c r="H220" s="4">
        <v>4501488</v>
      </c>
      <c r="I220" s="10">
        <v>7447000</v>
      </c>
    </row>
    <row r="221" spans="1:9" x14ac:dyDescent="0.25">
      <c r="A221" s="9">
        <v>2023</v>
      </c>
      <c r="B221" s="3">
        <v>8</v>
      </c>
      <c r="C221" s="3">
        <v>17135020000</v>
      </c>
      <c r="D221" s="3"/>
      <c r="E221" s="3"/>
      <c r="F221" s="3" t="s">
        <v>222</v>
      </c>
      <c r="G221" s="4">
        <v>10367591.74</v>
      </c>
      <c r="H221" s="4">
        <v>89034420.810000002</v>
      </c>
      <c r="I221" s="10">
        <v>126000000</v>
      </c>
    </row>
    <row r="222" spans="1:9" x14ac:dyDescent="0.25">
      <c r="A222" s="9">
        <v>2023</v>
      </c>
      <c r="B222" s="3">
        <v>8</v>
      </c>
      <c r="C222" s="3">
        <v>17135021001</v>
      </c>
      <c r="D222" s="3">
        <v>5</v>
      </c>
      <c r="E222" s="3">
        <v>1406</v>
      </c>
      <c r="F222" s="3" t="s">
        <v>223</v>
      </c>
      <c r="G222" s="4">
        <v>10367591.74</v>
      </c>
      <c r="H222" s="4">
        <v>83954634.150000006</v>
      </c>
      <c r="I222" s="10">
        <v>126000000</v>
      </c>
    </row>
    <row r="223" spans="1:9" x14ac:dyDescent="0.25">
      <c r="A223" s="9">
        <v>2023</v>
      </c>
      <c r="B223" s="3">
        <v>8</v>
      </c>
      <c r="C223" s="3">
        <v>17135021002</v>
      </c>
      <c r="D223" s="3">
        <v>5</v>
      </c>
      <c r="E223" s="3">
        <v>1408</v>
      </c>
      <c r="F223" s="3" t="s">
        <v>224</v>
      </c>
      <c r="G223" s="3">
        <v>0</v>
      </c>
      <c r="H223" s="4">
        <v>300000</v>
      </c>
      <c r="I223" s="11">
        <v>0</v>
      </c>
    </row>
    <row r="224" spans="1:9" x14ac:dyDescent="0.25">
      <c r="A224" s="9">
        <v>2023</v>
      </c>
      <c r="B224" s="3">
        <v>8</v>
      </c>
      <c r="C224" s="3">
        <v>17135021003</v>
      </c>
      <c r="D224" s="3">
        <v>5</v>
      </c>
      <c r="E224" s="3">
        <v>2005</v>
      </c>
      <c r="F224" s="3" t="s">
        <v>225</v>
      </c>
      <c r="G224" s="3">
        <v>0</v>
      </c>
      <c r="H224" s="4">
        <v>4779786.66</v>
      </c>
      <c r="I224" s="11">
        <v>0</v>
      </c>
    </row>
    <row r="225" spans="1:9" x14ac:dyDescent="0.25">
      <c r="A225" s="9">
        <v>2023</v>
      </c>
      <c r="B225" s="3">
        <v>8</v>
      </c>
      <c r="C225" s="3">
        <v>17135030000</v>
      </c>
      <c r="D225" s="3"/>
      <c r="E225" s="3"/>
      <c r="F225" s="3" t="s">
        <v>226</v>
      </c>
      <c r="G225" s="4">
        <v>919524.55</v>
      </c>
      <c r="H225" s="4">
        <v>5652812.8300000001</v>
      </c>
      <c r="I225" s="10">
        <v>7936000</v>
      </c>
    </row>
    <row r="226" spans="1:9" x14ac:dyDescent="0.25">
      <c r="A226" s="9">
        <v>2023</v>
      </c>
      <c r="B226" s="3">
        <v>8</v>
      </c>
      <c r="C226" s="3">
        <v>17135031001</v>
      </c>
      <c r="D226" s="3">
        <v>5</v>
      </c>
      <c r="E226" s="3">
        <v>1350</v>
      </c>
      <c r="F226" s="3" t="s">
        <v>227</v>
      </c>
      <c r="G226" s="4">
        <v>388326.63</v>
      </c>
      <c r="H226" s="4">
        <v>1450377.47</v>
      </c>
      <c r="I226" s="10">
        <v>1442000</v>
      </c>
    </row>
    <row r="227" spans="1:9" x14ac:dyDescent="0.25">
      <c r="A227" s="9">
        <v>2023</v>
      </c>
      <c r="B227" s="3">
        <v>8</v>
      </c>
      <c r="C227" s="3">
        <v>17135031002</v>
      </c>
      <c r="D227" s="3">
        <v>5</v>
      </c>
      <c r="E227" s="3">
        <v>1341</v>
      </c>
      <c r="F227" s="3" t="s">
        <v>228</v>
      </c>
      <c r="G227" s="4">
        <v>50717.919999999998</v>
      </c>
      <c r="H227" s="4">
        <v>405743.35999999999</v>
      </c>
      <c r="I227" s="10">
        <v>608000</v>
      </c>
    </row>
    <row r="228" spans="1:9" x14ac:dyDescent="0.25">
      <c r="A228" s="9">
        <v>2023</v>
      </c>
      <c r="B228" s="3">
        <v>8</v>
      </c>
      <c r="C228" s="3">
        <v>17135031003</v>
      </c>
      <c r="D228" s="3">
        <v>5</v>
      </c>
      <c r="E228" s="3">
        <v>2002</v>
      </c>
      <c r="F228" s="3" t="s">
        <v>229</v>
      </c>
      <c r="G228" s="4">
        <v>480480</v>
      </c>
      <c r="H228" s="4">
        <v>3796692</v>
      </c>
      <c r="I228" s="10">
        <v>5886000</v>
      </c>
    </row>
    <row r="229" spans="1:9" x14ac:dyDescent="0.25">
      <c r="A229" s="9">
        <v>2023</v>
      </c>
      <c r="B229" s="3">
        <v>8</v>
      </c>
      <c r="C229" s="3">
        <v>17135040000</v>
      </c>
      <c r="D229" s="3"/>
      <c r="E229" s="3"/>
      <c r="F229" s="3" t="s">
        <v>230</v>
      </c>
      <c r="G229" s="4">
        <v>351947.7</v>
      </c>
      <c r="H229" s="4">
        <v>2815581.6</v>
      </c>
      <c r="I229" s="10">
        <v>4443000</v>
      </c>
    </row>
    <row r="230" spans="1:9" x14ac:dyDescent="0.25">
      <c r="A230" s="9">
        <v>2023</v>
      </c>
      <c r="B230" s="3">
        <v>8</v>
      </c>
      <c r="C230" s="3">
        <v>17135041001</v>
      </c>
      <c r="D230" s="3">
        <v>5</v>
      </c>
      <c r="E230" s="3">
        <v>1376</v>
      </c>
      <c r="F230" s="3" t="s">
        <v>231</v>
      </c>
      <c r="G230" s="4">
        <v>351947.7</v>
      </c>
      <c r="H230" s="4">
        <v>2815581.6</v>
      </c>
      <c r="I230" s="10">
        <v>4443000</v>
      </c>
    </row>
    <row r="231" spans="1:9" x14ac:dyDescent="0.25">
      <c r="A231" s="9">
        <v>2023</v>
      </c>
      <c r="B231" s="3">
        <v>8</v>
      </c>
      <c r="C231" s="3">
        <v>17135050000</v>
      </c>
      <c r="D231" s="3"/>
      <c r="E231" s="3"/>
      <c r="F231" s="3" t="s">
        <v>232</v>
      </c>
      <c r="G231" s="4">
        <v>1970517</v>
      </c>
      <c r="H231" s="4">
        <v>1970517</v>
      </c>
      <c r="I231" s="11">
        <v>0</v>
      </c>
    </row>
    <row r="232" spans="1:9" x14ac:dyDescent="0.25">
      <c r="A232" s="9">
        <v>2023</v>
      </c>
      <c r="B232" s="3">
        <v>8</v>
      </c>
      <c r="C232" s="3">
        <v>17135051002</v>
      </c>
      <c r="D232" s="3">
        <v>5</v>
      </c>
      <c r="E232" s="3">
        <v>2010</v>
      </c>
      <c r="F232" s="3" t="s">
        <v>233</v>
      </c>
      <c r="G232" s="4">
        <v>1970517</v>
      </c>
      <c r="H232" s="4">
        <v>1970517</v>
      </c>
      <c r="I232" s="11">
        <v>0</v>
      </c>
    </row>
    <row r="233" spans="1:9" x14ac:dyDescent="0.25">
      <c r="A233" s="9">
        <v>2023</v>
      </c>
      <c r="B233" s="3">
        <v>8</v>
      </c>
      <c r="C233" s="3">
        <v>17140000000</v>
      </c>
      <c r="D233" s="3"/>
      <c r="E233" s="3"/>
      <c r="F233" s="3" t="s">
        <v>234</v>
      </c>
      <c r="G233" s="4">
        <v>6084392.71</v>
      </c>
      <c r="H233" s="4">
        <v>50609652.390000001</v>
      </c>
      <c r="I233" s="10">
        <v>71693000</v>
      </c>
    </row>
    <row r="234" spans="1:9" x14ac:dyDescent="0.25">
      <c r="A234" s="9">
        <v>2023</v>
      </c>
      <c r="B234" s="3">
        <v>8</v>
      </c>
      <c r="C234" s="3">
        <v>17145000000</v>
      </c>
      <c r="D234" s="3"/>
      <c r="E234" s="3"/>
      <c r="F234" s="3" t="s">
        <v>235</v>
      </c>
      <c r="G234" s="4">
        <v>4842261.21</v>
      </c>
      <c r="H234" s="4">
        <v>42564538.329999998</v>
      </c>
      <c r="I234" s="10">
        <v>59931000</v>
      </c>
    </row>
    <row r="235" spans="1:9" x14ac:dyDescent="0.25">
      <c r="A235" s="9">
        <v>2023</v>
      </c>
      <c r="B235" s="3">
        <v>8</v>
      </c>
      <c r="C235" s="3">
        <v>17145001001</v>
      </c>
      <c r="D235" s="3">
        <v>5</v>
      </c>
      <c r="E235" s="3">
        <v>1260</v>
      </c>
      <c r="F235" s="3" t="s">
        <v>236</v>
      </c>
      <c r="G235" s="4">
        <v>4842261.21</v>
      </c>
      <c r="H235" s="4">
        <v>42564538.329999998</v>
      </c>
      <c r="I235" s="10">
        <v>59931000</v>
      </c>
    </row>
    <row r="236" spans="1:9" x14ac:dyDescent="0.25">
      <c r="A236" s="9">
        <v>2023</v>
      </c>
      <c r="B236" s="3">
        <v>8</v>
      </c>
      <c r="C236" s="3">
        <v>17145100000</v>
      </c>
      <c r="D236" s="3"/>
      <c r="E236" s="3"/>
      <c r="F236" s="3" t="s">
        <v>237</v>
      </c>
      <c r="G236" s="3">
        <v>0</v>
      </c>
      <c r="H236" s="4">
        <v>1320</v>
      </c>
      <c r="I236" s="11">
        <v>0</v>
      </c>
    </row>
    <row r="237" spans="1:9" x14ac:dyDescent="0.25">
      <c r="A237" s="9">
        <v>2023</v>
      </c>
      <c r="B237" s="3">
        <v>8</v>
      </c>
      <c r="C237" s="3">
        <v>17145101001</v>
      </c>
      <c r="D237" s="3">
        <v>5</v>
      </c>
      <c r="E237" s="3">
        <v>1332</v>
      </c>
      <c r="F237" s="3" t="s">
        <v>238</v>
      </c>
      <c r="G237" s="3">
        <v>0</v>
      </c>
      <c r="H237" s="4">
        <v>1320</v>
      </c>
      <c r="I237" s="11">
        <v>0</v>
      </c>
    </row>
    <row r="238" spans="1:9" x14ac:dyDescent="0.25">
      <c r="A238" s="9">
        <v>2023</v>
      </c>
      <c r="B238" s="3">
        <v>8</v>
      </c>
      <c r="C238" s="3">
        <v>17145200000</v>
      </c>
      <c r="D238" s="3"/>
      <c r="E238" s="3"/>
      <c r="F238" s="3" t="s">
        <v>239</v>
      </c>
      <c r="G238" s="4">
        <v>1133268.08</v>
      </c>
      <c r="H238" s="4">
        <v>7656338.4800000004</v>
      </c>
      <c r="I238" s="10">
        <v>11055000</v>
      </c>
    </row>
    <row r="239" spans="1:9" x14ac:dyDescent="0.25">
      <c r="A239" s="9">
        <v>2023</v>
      </c>
      <c r="B239" s="3">
        <v>8</v>
      </c>
      <c r="C239" s="3">
        <v>17145201001</v>
      </c>
      <c r="D239" s="3">
        <v>5</v>
      </c>
      <c r="E239" s="3">
        <v>2731</v>
      </c>
      <c r="F239" s="3" t="s">
        <v>240</v>
      </c>
      <c r="G239" s="4">
        <v>234738</v>
      </c>
      <c r="H239" s="4">
        <v>1584610.2</v>
      </c>
      <c r="I239" s="10">
        <v>2326000</v>
      </c>
    </row>
    <row r="240" spans="1:9" x14ac:dyDescent="0.25">
      <c r="A240" s="9">
        <v>2023</v>
      </c>
      <c r="B240" s="3">
        <v>8</v>
      </c>
      <c r="C240" s="3">
        <v>17145201002</v>
      </c>
      <c r="D240" s="3">
        <v>5</v>
      </c>
      <c r="E240" s="3">
        <v>2732</v>
      </c>
      <c r="F240" s="3" t="s">
        <v>241</v>
      </c>
      <c r="G240" s="4">
        <v>25840</v>
      </c>
      <c r="H240" s="4">
        <v>175180</v>
      </c>
      <c r="I240" s="10">
        <v>223000</v>
      </c>
    </row>
    <row r="241" spans="1:9" x14ac:dyDescent="0.25">
      <c r="A241" s="9">
        <v>2023</v>
      </c>
      <c r="B241" s="3">
        <v>8</v>
      </c>
      <c r="C241" s="3">
        <v>17145201003</v>
      </c>
      <c r="D241" s="3">
        <v>5</v>
      </c>
      <c r="E241" s="3">
        <v>2733</v>
      </c>
      <c r="F241" s="3" t="s">
        <v>242</v>
      </c>
      <c r="G241" s="4">
        <v>405355.6</v>
      </c>
      <c r="H241" s="4">
        <v>2748725.2</v>
      </c>
      <c r="I241" s="10">
        <v>3948000</v>
      </c>
    </row>
    <row r="242" spans="1:9" x14ac:dyDescent="0.25">
      <c r="A242" s="9">
        <v>2023</v>
      </c>
      <c r="B242" s="3">
        <v>8</v>
      </c>
      <c r="C242" s="3">
        <v>17145201004</v>
      </c>
      <c r="D242" s="3">
        <v>5</v>
      </c>
      <c r="E242" s="3">
        <v>2734</v>
      </c>
      <c r="F242" s="3" t="s">
        <v>243</v>
      </c>
      <c r="G242" s="4">
        <v>451393.4</v>
      </c>
      <c r="H242" s="4">
        <v>3040203.8</v>
      </c>
      <c r="I242" s="10">
        <v>4417000</v>
      </c>
    </row>
    <row r="243" spans="1:9" x14ac:dyDescent="0.25">
      <c r="A243" s="9">
        <v>2023</v>
      </c>
      <c r="B243" s="3">
        <v>8</v>
      </c>
      <c r="C243" s="3">
        <v>17145201005</v>
      </c>
      <c r="D243" s="3">
        <v>5</v>
      </c>
      <c r="E243" s="3">
        <v>2735</v>
      </c>
      <c r="F243" s="3" t="s">
        <v>244</v>
      </c>
      <c r="G243" s="4">
        <v>10423.68</v>
      </c>
      <c r="H243" s="4">
        <v>70540.679999999993</v>
      </c>
      <c r="I243" s="10">
        <v>91000</v>
      </c>
    </row>
    <row r="244" spans="1:9" x14ac:dyDescent="0.25">
      <c r="A244" s="9">
        <v>2023</v>
      </c>
      <c r="B244" s="3">
        <v>8</v>
      </c>
      <c r="C244" s="3">
        <v>17145201006</v>
      </c>
      <c r="D244" s="3">
        <v>5</v>
      </c>
      <c r="E244" s="3">
        <v>2736</v>
      </c>
      <c r="F244" s="3" t="s">
        <v>245</v>
      </c>
      <c r="G244" s="4">
        <v>5517.4</v>
      </c>
      <c r="H244" s="4">
        <v>37078.6</v>
      </c>
      <c r="I244" s="10">
        <v>50000</v>
      </c>
    </row>
    <row r="245" spans="1:9" x14ac:dyDescent="0.25">
      <c r="A245" s="9">
        <v>2023</v>
      </c>
      <c r="B245" s="3">
        <v>8</v>
      </c>
      <c r="C245" s="3">
        <v>17145300000</v>
      </c>
      <c r="D245" s="3"/>
      <c r="E245" s="3"/>
      <c r="F245" s="3" t="s">
        <v>246</v>
      </c>
      <c r="G245" s="4">
        <v>108863.42</v>
      </c>
      <c r="H245" s="4">
        <v>387455.58</v>
      </c>
      <c r="I245" s="10">
        <v>707000</v>
      </c>
    </row>
    <row r="246" spans="1:9" x14ac:dyDescent="0.25">
      <c r="A246" s="9">
        <v>2023</v>
      </c>
      <c r="B246" s="3">
        <v>8</v>
      </c>
      <c r="C246" s="3">
        <v>17145301001</v>
      </c>
      <c r="D246" s="3">
        <v>5</v>
      </c>
      <c r="E246" s="3">
        <v>2740</v>
      </c>
      <c r="F246" s="3" t="s">
        <v>247</v>
      </c>
      <c r="G246" s="4">
        <v>108863.42</v>
      </c>
      <c r="H246" s="4">
        <v>387455.58</v>
      </c>
      <c r="I246" s="10">
        <v>707000</v>
      </c>
    </row>
    <row r="247" spans="1:9" x14ac:dyDescent="0.25">
      <c r="A247" s="9">
        <v>2023</v>
      </c>
      <c r="B247" s="3">
        <v>8</v>
      </c>
      <c r="C247" s="3">
        <v>17160000000</v>
      </c>
      <c r="D247" s="3"/>
      <c r="E247" s="3"/>
      <c r="F247" s="3" t="s">
        <v>248</v>
      </c>
      <c r="G247" s="4">
        <v>334119.28000000003</v>
      </c>
      <c r="H247" s="4">
        <v>2958814.8</v>
      </c>
      <c r="I247" s="10">
        <v>3476000</v>
      </c>
    </row>
    <row r="248" spans="1:9" x14ac:dyDescent="0.25">
      <c r="A248" s="9">
        <v>2023</v>
      </c>
      <c r="B248" s="3">
        <v>8</v>
      </c>
      <c r="C248" s="3">
        <v>17165000000</v>
      </c>
      <c r="D248" s="3"/>
      <c r="E248" s="3"/>
      <c r="F248" s="3" t="s">
        <v>249</v>
      </c>
      <c r="G248" s="4">
        <v>334119.28000000003</v>
      </c>
      <c r="H248" s="4">
        <v>2958814.8</v>
      </c>
      <c r="I248" s="10">
        <v>3476000</v>
      </c>
    </row>
    <row r="249" spans="1:9" x14ac:dyDescent="0.25">
      <c r="A249" s="9">
        <v>2023</v>
      </c>
      <c r="B249" s="3">
        <v>8</v>
      </c>
      <c r="C249" s="3">
        <v>17165001001</v>
      </c>
      <c r="D249" s="3">
        <v>5</v>
      </c>
      <c r="E249" s="3">
        <v>2180</v>
      </c>
      <c r="F249" s="3" t="s">
        <v>250</v>
      </c>
      <c r="G249" s="4">
        <v>213036.2</v>
      </c>
      <c r="H249" s="4">
        <v>1726374.29</v>
      </c>
      <c r="I249" s="10">
        <v>1379000</v>
      </c>
    </row>
    <row r="250" spans="1:9" x14ac:dyDescent="0.25">
      <c r="A250" s="9">
        <v>2023</v>
      </c>
      <c r="B250" s="3">
        <v>8</v>
      </c>
      <c r="C250" s="3">
        <v>17165001002</v>
      </c>
      <c r="D250" s="3">
        <v>5</v>
      </c>
      <c r="E250" s="3">
        <v>2596</v>
      </c>
      <c r="F250" s="3" t="s">
        <v>251</v>
      </c>
      <c r="G250" s="3">
        <v>0</v>
      </c>
      <c r="H250" s="4">
        <v>59977.5</v>
      </c>
      <c r="I250" s="10">
        <v>868000</v>
      </c>
    </row>
    <row r="251" spans="1:9" x14ac:dyDescent="0.25">
      <c r="A251" s="9">
        <v>2023</v>
      </c>
      <c r="B251" s="3">
        <v>8</v>
      </c>
      <c r="C251" s="3">
        <v>17165001006</v>
      </c>
      <c r="D251" s="3">
        <v>5</v>
      </c>
      <c r="E251" s="3">
        <v>2181</v>
      </c>
      <c r="F251" s="3" t="s">
        <v>252</v>
      </c>
      <c r="G251" s="4">
        <v>121083.08</v>
      </c>
      <c r="H251" s="4">
        <v>952463.01</v>
      </c>
      <c r="I251" s="10">
        <v>1229000</v>
      </c>
    </row>
    <row r="252" spans="1:9" x14ac:dyDescent="0.25">
      <c r="A252" s="9">
        <v>2023</v>
      </c>
      <c r="B252" s="3">
        <v>8</v>
      </c>
      <c r="C252" s="3">
        <v>17165001008</v>
      </c>
      <c r="D252" s="3">
        <v>5</v>
      </c>
      <c r="E252" s="3">
        <v>2015</v>
      </c>
      <c r="F252" s="3" t="s">
        <v>253</v>
      </c>
      <c r="G252" s="3">
        <v>0</v>
      </c>
      <c r="H252" s="4">
        <v>220000</v>
      </c>
      <c r="I252" s="11">
        <v>0</v>
      </c>
    </row>
    <row r="253" spans="1:9" x14ac:dyDescent="0.25">
      <c r="A253" s="9">
        <v>2023</v>
      </c>
      <c r="B253" s="3">
        <v>8</v>
      </c>
      <c r="C253" s="3">
        <v>17170000000</v>
      </c>
      <c r="D253" s="3"/>
      <c r="E253" s="3"/>
      <c r="F253" s="3" t="s">
        <v>254</v>
      </c>
      <c r="G253" s="3">
        <v>0</v>
      </c>
      <c r="H253" s="4">
        <v>496123.68</v>
      </c>
      <c r="I253" s="10">
        <v>499000</v>
      </c>
    </row>
    <row r="254" spans="1:9" x14ac:dyDescent="0.25">
      <c r="A254" s="9">
        <v>2023</v>
      </c>
      <c r="B254" s="3">
        <v>8</v>
      </c>
      <c r="C254" s="3">
        <v>17179900000</v>
      </c>
      <c r="D254" s="3"/>
      <c r="E254" s="3"/>
      <c r="F254" s="3" t="s">
        <v>255</v>
      </c>
      <c r="G254" s="3">
        <v>0</v>
      </c>
      <c r="H254" s="4">
        <v>496123.68</v>
      </c>
      <c r="I254" s="10">
        <v>499000</v>
      </c>
    </row>
    <row r="255" spans="1:9" x14ac:dyDescent="0.25">
      <c r="A255" s="9">
        <v>2023</v>
      </c>
      <c r="B255" s="3">
        <v>8</v>
      </c>
      <c r="C255" s="3">
        <v>17179901001</v>
      </c>
      <c r="D255" s="3">
        <v>5</v>
      </c>
      <c r="E255" s="3">
        <v>1172</v>
      </c>
      <c r="F255" s="3" t="s">
        <v>256</v>
      </c>
      <c r="G255" s="3">
        <v>0</v>
      </c>
      <c r="H255" s="4">
        <v>494704.18</v>
      </c>
      <c r="I255" s="11">
        <v>0</v>
      </c>
    </row>
    <row r="256" spans="1:9" x14ac:dyDescent="0.25">
      <c r="A256" s="9">
        <v>2023</v>
      </c>
      <c r="B256" s="3">
        <v>8</v>
      </c>
      <c r="C256" s="3">
        <v>17179901002</v>
      </c>
      <c r="D256" s="3">
        <v>5</v>
      </c>
      <c r="E256" s="3">
        <v>1174</v>
      </c>
      <c r="F256" s="3" t="s">
        <v>257</v>
      </c>
      <c r="G256" s="3">
        <v>0</v>
      </c>
      <c r="H256" s="4">
        <v>1419.5</v>
      </c>
      <c r="I256" s="11">
        <v>0</v>
      </c>
    </row>
    <row r="257" spans="1:9" x14ac:dyDescent="0.25">
      <c r="A257" s="9">
        <v>2023</v>
      </c>
      <c r="B257" s="3">
        <v>8</v>
      </c>
      <c r="C257" s="3">
        <v>17179901007</v>
      </c>
      <c r="D257" s="3">
        <v>5</v>
      </c>
      <c r="E257" s="3">
        <v>2644</v>
      </c>
      <c r="F257" s="3" t="s">
        <v>258</v>
      </c>
      <c r="G257" s="3">
        <v>0</v>
      </c>
      <c r="H257" s="3">
        <v>0</v>
      </c>
      <c r="I257" s="10">
        <v>499000</v>
      </c>
    </row>
    <row r="258" spans="1:9" x14ac:dyDescent="0.25">
      <c r="A258" s="9">
        <v>2023</v>
      </c>
      <c r="B258" s="3">
        <v>8</v>
      </c>
      <c r="C258" s="3">
        <v>17190000000</v>
      </c>
      <c r="D258" s="3"/>
      <c r="E258" s="3"/>
      <c r="F258" s="3" t="s">
        <v>255</v>
      </c>
      <c r="G258" s="4">
        <v>317672.92</v>
      </c>
      <c r="H258" s="4">
        <v>2808438.81</v>
      </c>
      <c r="I258" s="10">
        <v>3885000</v>
      </c>
    </row>
    <row r="259" spans="1:9" x14ac:dyDescent="0.25">
      <c r="A259" s="9">
        <v>2023</v>
      </c>
      <c r="B259" s="3">
        <v>8</v>
      </c>
      <c r="C259" s="3">
        <v>17195800000</v>
      </c>
      <c r="D259" s="3"/>
      <c r="E259" s="3"/>
      <c r="F259" s="3" t="s">
        <v>259</v>
      </c>
      <c r="G259" s="4">
        <v>317672.92</v>
      </c>
      <c r="H259" s="4">
        <v>2541383.36</v>
      </c>
      <c r="I259" s="10">
        <v>3885000</v>
      </c>
    </row>
    <row r="260" spans="1:9" x14ac:dyDescent="0.25">
      <c r="A260" s="9">
        <v>2023</v>
      </c>
      <c r="B260" s="3">
        <v>8</v>
      </c>
      <c r="C260" s="3">
        <v>17195801001</v>
      </c>
      <c r="D260" s="3">
        <v>5</v>
      </c>
      <c r="E260" s="3">
        <v>1948</v>
      </c>
      <c r="F260" s="3" t="s">
        <v>260</v>
      </c>
      <c r="G260" s="4">
        <v>317672.92</v>
      </c>
      <c r="H260" s="4">
        <v>2541383.36</v>
      </c>
      <c r="I260" s="10">
        <v>3885000</v>
      </c>
    </row>
    <row r="261" spans="1:9" x14ac:dyDescent="0.25">
      <c r="A261" s="9">
        <v>2023</v>
      </c>
      <c r="B261" s="3">
        <v>8</v>
      </c>
      <c r="C261" s="3">
        <v>17199900000</v>
      </c>
      <c r="D261" s="3"/>
      <c r="E261" s="3"/>
      <c r="F261" s="3" t="s">
        <v>255</v>
      </c>
      <c r="G261" s="3">
        <v>0</v>
      </c>
      <c r="H261" s="4">
        <v>267055.45</v>
      </c>
      <c r="I261" s="11">
        <v>0</v>
      </c>
    </row>
    <row r="262" spans="1:9" x14ac:dyDescent="0.25">
      <c r="A262" s="9">
        <v>2023</v>
      </c>
      <c r="B262" s="3">
        <v>8</v>
      </c>
      <c r="C262" s="3">
        <v>17199901008</v>
      </c>
      <c r="D262" s="3">
        <v>5</v>
      </c>
      <c r="E262" s="3">
        <v>2004</v>
      </c>
      <c r="F262" s="3" t="s">
        <v>261</v>
      </c>
      <c r="G262" s="3">
        <v>0</v>
      </c>
      <c r="H262" s="4">
        <v>267055.45</v>
      </c>
      <c r="I262" s="11">
        <v>0</v>
      </c>
    </row>
    <row r="263" spans="1:9" x14ac:dyDescent="0.25">
      <c r="A263" s="9">
        <v>2023</v>
      </c>
      <c r="B263" s="3">
        <v>8</v>
      </c>
      <c r="C263" s="3">
        <v>17200000000</v>
      </c>
      <c r="D263" s="3"/>
      <c r="E263" s="3"/>
      <c r="F263" s="3" t="s">
        <v>262</v>
      </c>
      <c r="G263" s="4">
        <v>121848041.25</v>
      </c>
      <c r="H263" s="4">
        <v>1059815041.3</v>
      </c>
      <c r="I263" s="10">
        <v>1598816000</v>
      </c>
    </row>
    <row r="264" spans="1:9" x14ac:dyDescent="0.25">
      <c r="A264" s="9">
        <v>2023</v>
      </c>
      <c r="B264" s="3">
        <v>8</v>
      </c>
      <c r="C264" s="3">
        <v>17210000000</v>
      </c>
      <c r="D264" s="3"/>
      <c r="E264" s="3"/>
      <c r="F264" s="3" t="s">
        <v>263</v>
      </c>
      <c r="G264" s="4">
        <v>114654541.02</v>
      </c>
      <c r="H264" s="4">
        <v>997974657.82000005</v>
      </c>
      <c r="I264" s="10">
        <v>1560625000</v>
      </c>
    </row>
    <row r="265" spans="1:9" x14ac:dyDescent="0.25">
      <c r="A265" s="9">
        <v>2023</v>
      </c>
      <c r="B265" s="3">
        <v>8</v>
      </c>
      <c r="C265" s="3">
        <v>17215000000</v>
      </c>
      <c r="D265" s="3"/>
      <c r="E265" s="3"/>
      <c r="F265" s="3" t="s">
        <v>264</v>
      </c>
      <c r="G265" s="4">
        <v>106394585.47</v>
      </c>
      <c r="H265" s="4">
        <v>797999576.78999996</v>
      </c>
      <c r="I265" s="10">
        <v>1362664000</v>
      </c>
    </row>
    <row r="266" spans="1:9" x14ac:dyDescent="0.25">
      <c r="A266" s="9">
        <v>2023</v>
      </c>
      <c r="B266" s="3">
        <v>8</v>
      </c>
      <c r="C266" s="3">
        <v>17215001001</v>
      </c>
      <c r="D266" s="3">
        <v>1</v>
      </c>
      <c r="E266" s="3">
        <v>1236</v>
      </c>
      <c r="F266" s="3" t="s">
        <v>265</v>
      </c>
      <c r="G266" s="4">
        <v>106394585.47</v>
      </c>
      <c r="H266" s="4">
        <v>797999576.78999996</v>
      </c>
      <c r="I266" s="10">
        <v>1362664000</v>
      </c>
    </row>
    <row r="267" spans="1:9" x14ac:dyDescent="0.25">
      <c r="A267" s="9">
        <v>2023</v>
      </c>
      <c r="B267" s="3">
        <v>8</v>
      </c>
      <c r="C267" s="3">
        <v>17215100000</v>
      </c>
      <c r="D267" s="3"/>
      <c r="E267" s="3"/>
      <c r="F267" s="3" t="s">
        <v>266</v>
      </c>
      <c r="G267" s="4">
        <v>7731216.5099999998</v>
      </c>
      <c r="H267" s="4">
        <v>195503449.61000001</v>
      </c>
      <c r="I267" s="10">
        <v>188241000</v>
      </c>
    </row>
    <row r="268" spans="1:9" x14ac:dyDescent="0.25">
      <c r="A268" s="9">
        <v>2023</v>
      </c>
      <c r="B268" s="3">
        <v>8</v>
      </c>
      <c r="C268" s="3">
        <v>17215101001</v>
      </c>
      <c r="D268" s="3">
        <v>1</v>
      </c>
      <c r="E268" s="3">
        <v>1287</v>
      </c>
      <c r="F268" s="3" t="s">
        <v>267</v>
      </c>
      <c r="G268" s="4">
        <v>7731216.5099999998</v>
      </c>
      <c r="H268" s="4">
        <v>195503449.61000001</v>
      </c>
      <c r="I268" s="10">
        <v>188241000</v>
      </c>
    </row>
    <row r="269" spans="1:9" x14ac:dyDescent="0.25">
      <c r="A269" s="9">
        <v>2023</v>
      </c>
      <c r="B269" s="3">
        <v>8</v>
      </c>
      <c r="C269" s="3">
        <v>17215200000</v>
      </c>
      <c r="D269" s="3"/>
      <c r="E269" s="3"/>
      <c r="F269" s="3" t="s">
        <v>268</v>
      </c>
      <c r="G269" s="4">
        <v>528739.04</v>
      </c>
      <c r="H269" s="4">
        <v>4469690.3600000003</v>
      </c>
      <c r="I269" s="10">
        <v>9307000</v>
      </c>
    </row>
    <row r="270" spans="1:9" x14ac:dyDescent="0.25">
      <c r="A270" s="9">
        <v>2023</v>
      </c>
      <c r="B270" s="3">
        <v>8</v>
      </c>
      <c r="C270" s="3">
        <v>17215201001</v>
      </c>
      <c r="D270" s="3">
        <v>1</v>
      </c>
      <c r="E270" s="3">
        <v>1252</v>
      </c>
      <c r="F270" s="3" t="s">
        <v>269</v>
      </c>
      <c r="G270" s="4">
        <v>528739.04</v>
      </c>
      <c r="H270" s="4">
        <v>4469690.3600000003</v>
      </c>
      <c r="I270" s="10">
        <v>9307000</v>
      </c>
    </row>
    <row r="271" spans="1:9" x14ac:dyDescent="0.25">
      <c r="A271" s="9">
        <v>2023</v>
      </c>
      <c r="B271" s="3">
        <v>8</v>
      </c>
      <c r="C271" s="3">
        <v>17215300000</v>
      </c>
      <c r="D271" s="3"/>
      <c r="E271" s="3"/>
      <c r="F271" s="3" t="s">
        <v>270</v>
      </c>
      <c r="G271" s="3">
        <v>0</v>
      </c>
      <c r="H271" s="4">
        <v>1941.06</v>
      </c>
      <c r="I271" s="10">
        <v>413000</v>
      </c>
    </row>
    <row r="272" spans="1:9" x14ac:dyDescent="0.25">
      <c r="A272" s="9">
        <v>2023</v>
      </c>
      <c r="B272" s="3">
        <v>8</v>
      </c>
      <c r="C272" s="3">
        <v>17215301001</v>
      </c>
      <c r="D272" s="3">
        <v>1</v>
      </c>
      <c r="E272" s="3">
        <v>1840</v>
      </c>
      <c r="F272" s="3" t="s">
        <v>271</v>
      </c>
      <c r="G272" s="3">
        <v>0</v>
      </c>
      <c r="H272" s="4">
        <v>1941.06</v>
      </c>
      <c r="I272" s="10">
        <v>413000</v>
      </c>
    </row>
    <row r="273" spans="1:9" x14ac:dyDescent="0.25">
      <c r="A273" s="9">
        <v>2023</v>
      </c>
      <c r="B273" s="3">
        <v>8</v>
      </c>
      <c r="C273" s="3">
        <v>17240000000</v>
      </c>
      <c r="D273" s="3"/>
      <c r="E273" s="3"/>
      <c r="F273" s="3" t="s">
        <v>272</v>
      </c>
      <c r="G273" s="4">
        <v>7051803.8300000001</v>
      </c>
      <c r="H273" s="4">
        <v>60207000.549999997</v>
      </c>
      <c r="I273" s="10">
        <v>36491000</v>
      </c>
    </row>
    <row r="274" spans="1:9" x14ac:dyDescent="0.25">
      <c r="A274" s="9">
        <v>2023</v>
      </c>
      <c r="B274" s="3">
        <v>8</v>
      </c>
      <c r="C274" s="3">
        <v>17245000000</v>
      </c>
      <c r="D274" s="3"/>
      <c r="E274" s="3"/>
      <c r="F274" s="3" t="s">
        <v>273</v>
      </c>
      <c r="G274" s="4">
        <v>683077.05</v>
      </c>
      <c r="H274" s="4">
        <v>9941435.9000000004</v>
      </c>
      <c r="I274" s="10">
        <v>4196000</v>
      </c>
    </row>
    <row r="275" spans="1:9" x14ac:dyDescent="0.25">
      <c r="A275" s="9">
        <v>2023</v>
      </c>
      <c r="B275" s="3">
        <v>8</v>
      </c>
      <c r="C275" s="3">
        <v>17245001001</v>
      </c>
      <c r="D275" s="3">
        <v>2</v>
      </c>
      <c r="E275" s="3">
        <v>1414</v>
      </c>
      <c r="F275" s="3" t="s">
        <v>274</v>
      </c>
      <c r="G275" s="4">
        <v>33077.050000000003</v>
      </c>
      <c r="H275" s="4">
        <v>9291435.9000000004</v>
      </c>
      <c r="I275" s="10">
        <v>4196000</v>
      </c>
    </row>
    <row r="276" spans="1:9" x14ac:dyDescent="0.25">
      <c r="A276" s="9">
        <v>2023</v>
      </c>
      <c r="B276" s="3">
        <v>8</v>
      </c>
      <c r="C276" s="3">
        <v>17245001003</v>
      </c>
      <c r="D276" s="3">
        <v>2</v>
      </c>
      <c r="E276" s="3">
        <v>1417</v>
      </c>
      <c r="F276" s="3" t="s">
        <v>275</v>
      </c>
      <c r="G276" s="4">
        <v>650000</v>
      </c>
      <c r="H276" s="4">
        <v>650000</v>
      </c>
      <c r="I276" s="11">
        <v>0</v>
      </c>
    </row>
    <row r="277" spans="1:9" x14ac:dyDescent="0.25">
      <c r="A277" s="9">
        <v>2023</v>
      </c>
      <c r="B277" s="3">
        <v>8</v>
      </c>
      <c r="C277" s="3">
        <v>17245100000</v>
      </c>
      <c r="D277" s="3"/>
      <c r="E277" s="3"/>
      <c r="F277" s="3" t="s">
        <v>276</v>
      </c>
      <c r="G277" s="4">
        <v>6368726.7800000003</v>
      </c>
      <c r="H277" s="4">
        <v>49217199.439999998</v>
      </c>
      <c r="I277" s="10">
        <v>28160000</v>
      </c>
    </row>
    <row r="278" spans="1:9" x14ac:dyDescent="0.25">
      <c r="A278" s="9">
        <v>2023</v>
      </c>
      <c r="B278" s="3">
        <v>8</v>
      </c>
      <c r="C278" s="3">
        <v>17245101002</v>
      </c>
      <c r="D278" s="3">
        <v>2</v>
      </c>
      <c r="E278" s="3">
        <v>2907</v>
      </c>
      <c r="F278" s="3" t="s">
        <v>277</v>
      </c>
      <c r="G278" s="4">
        <v>2824925.72</v>
      </c>
      <c r="H278" s="4">
        <v>17011804.960000001</v>
      </c>
      <c r="I278" s="10">
        <v>28160000</v>
      </c>
    </row>
    <row r="279" spans="1:9" x14ac:dyDescent="0.25">
      <c r="A279" s="9">
        <v>2023</v>
      </c>
      <c r="B279" s="3">
        <v>8</v>
      </c>
      <c r="C279" s="3">
        <v>17245101004</v>
      </c>
      <c r="D279" s="3">
        <v>2</v>
      </c>
      <c r="E279" s="3">
        <v>2255</v>
      </c>
      <c r="F279" s="3" t="s">
        <v>278</v>
      </c>
      <c r="G279" s="4">
        <v>3543801.06</v>
      </c>
      <c r="H279" s="4">
        <v>29156838</v>
      </c>
      <c r="I279" s="11">
        <v>0</v>
      </c>
    </row>
    <row r="280" spans="1:9" x14ac:dyDescent="0.25">
      <c r="A280" s="9">
        <v>2023</v>
      </c>
      <c r="B280" s="3">
        <v>8</v>
      </c>
      <c r="C280" s="3">
        <v>17245101005</v>
      </c>
      <c r="D280" s="3">
        <v>2</v>
      </c>
      <c r="E280" s="3">
        <v>2256</v>
      </c>
      <c r="F280" s="3" t="s">
        <v>279</v>
      </c>
      <c r="G280" s="3">
        <v>0</v>
      </c>
      <c r="H280" s="4">
        <v>3048556.48</v>
      </c>
      <c r="I280" s="11">
        <v>0</v>
      </c>
    </row>
    <row r="281" spans="1:9" x14ac:dyDescent="0.25">
      <c r="A281" s="9">
        <v>2023</v>
      </c>
      <c r="B281" s="3">
        <v>8</v>
      </c>
      <c r="C281" s="3">
        <v>17249900000</v>
      </c>
      <c r="D281" s="3"/>
      <c r="E281" s="3"/>
      <c r="F281" s="3" t="s">
        <v>280</v>
      </c>
      <c r="G281" s="3">
        <v>0</v>
      </c>
      <c r="H281" s="4">
        <v>1048365.21</v>
      </c>
      <c r="I281" s="10">
        <v>4135000</v>
      </c>
    </row>
    <row r="282" spans="1:9" x14ac:dyDescent="0.25">
      <c r="A282" s="9">
        <v>2023</v>
      </c>
      <c r="B282" s="3">
        <v>8</v>
      </c>
      <c r="C282" s="3">
        <v>17249901002</v>
      </c>
      <c r="D282" s="3">
        <v>2</v>
      </c>
      <c r="E282" s="3">
        <v>1391</v>
      </c>
      <c r="F282" s="3" t="s">
        <v>281</v>
      </c>
      <c r="G282" s="3">
        <v>0</v>
      </c>
      <c r="H282" s="3">
        <v>0</v>
      </c>
      <c r="I282" s="10">
        <v>898000</v>
      </c>
    </row>
    <row r="283" spans="1:9" x14ac:dyDescent="0.25">
      <c r="A283" s="9">
        <v>2023</v>
      </c>
      <c r="B283" s="3">
        <v>8</v>
      </c>
      <c r="C283" s="3">
        <v>17249901003</v>
      </c>
      <c r="D283" s="3">
        <v>2</v>
      </c>
      <c r="E283" s="3">
        <v>2247</v>
      </c>
      <c r="F283" s="3" t="s">
        <v>282</v>
      </c>
      <c r="G283" s="3">
        <v>0</v>
      </c>
      <c r="H283" s="4">
        <v>1048365.21</v>
      </c>
      <c r="I283" s="10">
        <v>3237000</v>
      </c>
    </row>
    <row r="284" spans="1:9" x14ac:dyDescent="0.25">
      <c r="A284" s="9">
        <v>2023</v>
      </c>
      <c r="B284" s="3">
        <v>8</v>
      </c>
      <c r="C284" s="3">
        <v>17290000000</v>
      </c>
      <c r="D284" s="3"/>
      <c r="E284" s="3"/>
      <c r="F284" s="3" t="s">
        <v>283</v>
      </c>
      <c r="G284" s="4">
        <v>141696.4</v>
      </c>
      <c r="H284" s="4">
        <v>1633382.93</v>
      </c>
      <c r="I284" s="10">
        <v>1700000</v>
      </c>
    </row>
    <row r="285" spans="1:9" x14ac:dyDescent="0.25">
      <c r="A285" s="9">
        <v>2023</v>
      </c>
      <c r="B285" s="3">
        <v>8</v>
      </c>
      <c r="C285" s="3">
        <v>17295100000</v>
      </c>
      <c r="D285" s="3"/>
      <c r="E285" s="3"/>
      <c r="F285" s="3" t="s">
        <v>284</v>
      </c>
      <c r="G285" s="4">
        <v>141696.4</v>
      </c>
      <c r="H285" s="4">
        <v>1433382.93</v>
      </c>
      <c r="I285" s="10">
        <v>1700000</v>
      </c>
    </row>
    <row r="286" spans="1:9" x14ac:dyDescent="0.25">
      <c r="A286" s="9">
        <v>2023</v>
      </c>
      <c r="B286" s="3">
        <v>8</v>
      </c>
      <c r="C286" s="3">
        <v>17295101001</v>
      </c>
      <c r="D286" s="3">
        <v>2</v>
      </c>
      <c r="E286" s="3">
        <v>2311</v>
      </c>
      <c r="F286" s="3" t="s">
        <v>285</v>
      </c>
      <c r="G286" s="4">
        <v>141696.4</v>
      </c>
      <c r="H286" s="4">
        <v>1133571.1599999999</v>
      </c>
      <c r="I286" s="10">
        <v>1700000</v>
      </c>
    </row>
    <row r="287" spans="1:9" x14ac:dyDescent="0.25">
      <c r="A287" s="9">
        <v>2023</v>
      </c>
      <c r="B287" s="3">
        <v>8</v>
      </c>
      <c r="C287" s="3">
        <v>17295101002</v>
      </c>
      <c r="D287" s="3">
        <v>2</v>
      </c>
      <c r="E287" s="3">
        <v>2313</v>
      </c>
      <c r="F287" s="3" t="s">
        <v>286</v>
      </c>
      <c r="G287" s="3">
        <v>0</v>
      </c>
      <c r="H287" s="4">
        <v>299811.77</v>
      </c>
      <c r="I287" s="11">
        <v>0</v>
      </c>
    </row>
    <row r="288" spans="1:9" x14ac:dyDescent="0.25">
      <c r="A288" s="9">
        <v>2023</v>
      </c>
      <c r="B288" s="3">
        <v>8</v>
      </c>
      <c r="C288" s="3">
        <v>17299900000</v>
      </c>
      <c r="D288" s="3"/>
      <c r="E288" s="3"/>
      <c r="F288" s="3" t="s">
        <v>287</v>
      </c>
      <c r="G288" s="3">
        <v>0</v>
      </c>
      <c r="H288" s="4">
        <v>200000</v>
      </c>
      <c r="I288" s="11">
        <v>0</v>
      </c>
    </row>
    <row r="289" spans="1:9" x14ac:dyDescent="0.25">
      <c r="A289" s="9">
        <v>2023</v>
      </c>
      <c r="B289" s="3">
        <v>8</v>
      </c>
      <c r="C289" s="3">
        <v>17299901002</v>
      </c>
      <c r="D289" s="3">
        <v>2</v>
      </c>
      <c r="E289" s="3">
        <v>2137</v>
      </c>
      <c r="F289" s="3" t="s">
        <v>288</v>
      </c>
      <c r="G289" s="3">
        <v>0</v>
      </c>
      <c r="H289" s="4">
        <v>200000</v>
      </c>
      <c r="I289" s="11">
        <v>0</v>
      </c>
    </row>
    <row r="290" spans="1:9" x14ac:dyDescent="0.25">
      <c r="A290" s="9">
        <v>2023</v>
      </c>
      <c r="B290" s="3">
        <v>8</v>
      </c>
      <c r="C290" s="3">
        <v>17400000000</v>
      </c>
      <c r="D290" s="3"/>
      <c r="E290" s="3"/>
      <c r="F290" s="3" t="s">
        <v>289</v>
      </c>
      <c r="G290" s="3">
        <v>0</v>
      </c>
      <c r="H290" s="3">
        <v>0</v>
      </c>
      <c r="I290" s="10">
        <v>44000</v>
      </c>
    </row>
    <row r="291" spans="1:9" x14ac:dyDescent="0.25">
      <c r="A291" s="9">
        <v>2023</v>
      </c>
      <c r="B291" s="3">
        <v>8</v>
      </c>
      <c r="C291" s="3">
        <v>17410000000</v>
      </c>
      <c r="D291" s="3"/>
      <c r="E291" s="3"/>
      <c r="F291" s="3" t="s">
        <v>289</v>
      </c>
      <c r="G291" s="3">
        <v>0</v>
      </c>
      <c r="H291" s="3">
        <v>0</v>
      </c>
      <c r="I291" s="10">
        <v>44000</v>
      </c>
    </row>
    <row r="292" spans="1:9" x14ac:dyDescent="0.25">
      <c r="A292" s="9">
        <v>2023</v>
      </c>
      <c r="B292" s="3">
        <v>8</v>
      </c>
      <c r="C292" s="3">
        <v>17415000000</v>
      </c>
      <c r="D292" s="3"/>
      <c r="E292" s="3"/>
      <c r="F292" s="3" t="s">
        <v>290</v>
      </c>
      <c r="G292" s="3">
        <v>0</v>
      </c>
      <c r="H292" s="3">
        <v>0</v>
      </c>
      <c r="I292" s="10">
        <v>44000</v>
      </c>
    </row>
    <row r="293" spans="1:9" x14ac:dyDescent="0.25">
      <c r="A293" s="9">
        <v>2023</v>
      </c>
      <c r="B293" s="3">
        <v>8</v>
      </c>
      <c r="C293" s="3">
        <v>17415001001</v>
      </c>
      <c r="D293" s="3">
        <v>6</v>
      </c>
      <c r="E293" s="3">
        <v>2611</v>
      </c>
      <c r="F293" s="3" t="s">
        <v>291</v>
      </c>
      <c r="G293" s="3">
        <v>0</v>
      </c>
      <c r="H293" s="3">
        <v>0</v>
      </c>
      <c r="I293" s="10">
        <v>44000</v>
      </c>
    </row>
    <row r="294" spans="1:9" x14ac:dyDescent="0.25">
      <c r="A294" s="9">
        <v>2023</v>
      </c>
      <c r="B294" s="3">
        <v>8</v>
      </c>
      <c r="C294" s="3">
        <v>17500000000</v>
      </c>
      <c r="D294" s="3"/>
      <c r="E294" s="3"/>
      <c r="F294" s="3" t="s">
        <v>292</v>
      </c>
      <c r="G294" s="4">
        <v>36549517.600000001</v>
      </c>
      <c r="H294" s="4">
        <v>306033326.47000003</v>
      </c>
      <c r="I294" s="10">
        <v>497739000</v>
      </c>
    </row>
    <row r="295" spans="1:9" x14ac:dyDescent="0.25">
      <c r="A295" s="9">
        <v>2023</v>
      </c>
      <c r="B295" s="3">
        <v>8</v>
      </c>
      <c r="C295" s="3">
        <v>17510000000</v>
      </c>
      <c r="D295" s="3"/>
      <c r="E295" s="3"/>
      <c r="F295" s="3" t="s">
        <v>293</v>
      </c>
      <c r="G295" s="4">
        <v>36549517.600000001</v>
      </c>
      <c r="H295" s="4">
        <v>306033326.47000003</v>
      </c>
      <c r="I295" s="10">
        <v>497739000</v>
      </c>
    </row>
    <row r="296" spans="1:9" x14ac:dyDescent="0.25">
      <c r="A296" s="9">
        <v>2023</v>
      </c>
      <c r="B296" s="3">
        <v>8</v>
      </c>
      <c r="C296" s="3">
        <v>17515000000</v>
      </c>
      <c r="D296" s="3"/>
      <c r="E296" s="3"/>
      <c r="F296" s="3" t="s">
        <v>294</v>
      </c>
      <c r="G296" s="4">
        <v>36549517.600000001</v>
      </c>
      <c r="H296" s="4">
        <v>306033326.47000003</v>
      </c>
      <c r="I296" s="10">
        <v>497739000</v>
      </c>
    </row>
    <row r="297" spans="1:9" x14ac:dyDescent="0.25">
      <c r="A297" s="9">
        <v>2023</v>
      </c>
      <c r="B297" s="3">
        <v>8</v>
      </c>
      <c r="C297" s="3">
        <v>17515001001</v>
      </c>
      <c r="D297" s="3">
        <v>2</v>
      </c>
      <c r="E297" s="3">
        <v>1321</v>
      </c>
      <c r="F297" s="3" t="s">
        <v>295</v>
      </c>
      <c r="G297" s="4">
        <v>2842402.92</v>
      </c>
      <c r="H297" s="4">
        <v>26195392.670000002</v>
      </c>
      <c r="I297" s="10">
        <v>39696000</v>
      </c>
    </row>
    <row r="298" spans="1:9" x14ac:dyDescent="0.25">
      <c r="A298" s="9">
        <v>2023</v>
      </c>
      <c r="B298" s="3">
        <v>8</v>
      </c>
      <c r="C298" s="3">
        <v>17515001002</v>
      </c>
      <c r="D298" s="3">
        <v>2</v>
      </c>
      <c r="E298" s="3">
        <v>1322</v>
      </c>
      <c r="F298" s="3" t="s">
        <v>296</v>
      </c>
      <c r="G298" s="4">
        <v>10304.790000000001</v>
      </c>
      <c r="H298" s="4">
        <v>109003.22</v>
      </c>
      <c r="I298" s="10">
        <v>670000</v>
      </c>
    </row>
    <row r="299" spans="1:9" x14ac:dyDescent="0.25">
      <c r="A299" s="9">
        <v>2023</v>
      </c>
      <c r="B299" s="3">
        <v>8</v>
      </c>
      <c r="C299" s="3">
        <v>17515001004</v>
      </c>
      <c r="D299" s="3">
        <v>2</v>
      </c>
      <c r="E299" s="3">
        <v>1324</v>
      </c>
      <c r="F299" s="3" t="s">
        <v>297</v>
      </c>
      <c r="G299" s="4">
        <v>29931470.600000001</v>
      </c>
      <c r="H299" s="4">
        <v>224695152.77000001</v>
      </c>
      <c r="I299" s="10">
        <v>404069000</v>
      </c>
    </row>
    <row r="300" spans="1:9" x14ac:dyDescent="0.25">
      <c r="A300" s="9">
        <v>2023</v>
      </c>
      <c r="B300" s="3">
        <v>8</v>
      </c>
      <c r="C300" s="3">
        <v>17515001005</v>
      </c>
      <c r="D300" s="3">
        <v>2</v>
      </c>
      <c r="E300" s="3">
        <v>1325</v>
      </c>
      <c r="F300" s="3" t="s">
        <v>298</v>
      </c>
      <c r="G300" s="4">
        <v>146443.88</v>
      </c>
      <c r="H300" s="4">
        <v>1243891.22</v>
      </c>
      <c r="I300" s="10">
        <v>2431000</v>
      </c>
    </row>
    <row r="301" spans="1:9" x14ac:dyDescent="0.25">
      <c r="A301" s="9">
        <v>2023</v>
      </c>
      <c r="B301" s="3">
        <v>8</v>
      </c>
      <c r="C301" s="3">
        <v>17515001006</v>
      </c>
      <c r="D301" s="3">
        <v>2</v>
      </c>
      <c r="E301" s="3">
        <v>1326</v>
      </c>
      <c r="F301" s="3" t="s">
        <v>299</v>
      </c>
      <c r="G301" s="4">
        <v>1894422.46</v>
      </c>
      <c r="H301" s="4">
        <v>42613324.140000001</v>
      </c>
      <c r="I301" s="10">
        <v>41126000</v>
      </c>
    </row>
    <row r="302" spans="1:9" x14ac:dyDescent="0.25">
      <c r="A302" s="9">
        <v>2023</v>
      </c>
      <c r="B302" s="3">
        <v>8</v>
      </c>
      <c r="C302" s="3">
        <v>17515001007</v>
      </c>
      <c r="D302" s="3">
        <v>2</v>
      </c>
      <c r="E302" s="3">
        <v>1327</v>
      </c>
      <c r="F302" s="3" t="s">
        <v>300</v>
      </c>
      <c r="G302" s="4">
        <v>799092.44</v>
      </c>
      <c r="H302" s="4">
        <v>4529354.18</v>
      </c>
      <c r="I302" s="10">
        <v>7220000</v>
      </c>
    </row>
    <row r="303" spans="1:9" x14ac:dyDescent="0.25">
      <c r="A303" s="9">
        <v>2023</v>
      </c>
      <c r="B303" s="3">
        <v>8</v>
      </c>
      <c r="C303" s="3">
        <v>17515001008</v>
      </c>
      <c r="D303" s="3">
        <v>2</v>
      </c>
      <c r="E303" s="3">
        <v>1328</v>
      </c>
      <c r="F303" s="3" t="s">
        <v>301</v>
      </c>
      <c r="G303" s="4">
        <v>200071.94</v>
      </c>
      <c r="H303" s="4">
        <v>1842039.02</v>
      </c>
      <c r="I303" s="10">
        <v>2527000</v>
      </c>
    </row>
    <row r="304" spans="1:9" x14ac:dyDescent="0.25">
      <c r="A304" s="9">
        <v>2023</v>
      </c>
      <c r="B304" s="3">
        <v>8</v>
      </c>
      <c r="C304" s="3">
        <v>17515001009</v>
      </c>
      <c r="D304" s="3">
        <v>2</v>
      </c>
      <c r="E304" s="3">
        <v>2017</v>
      </c>
      <c r="F304" s="3" t="s">
        <v>302</v>
      </c>
      <c r="G304" s="4">
        <v>725308.57</v>
      </c>
      <c r="H304" s="4">
        <v>4805169.25</v>
      </c>
      <c r="I304" s="11">
        <v>0</v>
      </c>
    </row>
    <row r="305" spans="1:9" x14ac:dyDescent="0.25">
      <c r="A305" s="9">
        <v>2023</v>
      </c>
      <c r="B305" s="3">
        <v>8</v>
      </c>
      <c r="C305" s="3">
        <v>19000000000</v>
      </c>
      <c r="D305" s="3"/>
      <c r="E305" s="3"/>
      <c r="F305" s="3" t="s">
        <v>303</v>
      </c>
      <c r="G305" s="4">
        <v>11386502.08</v>
      </c>
      <c r="H305" s="4">
        <v>79198406.870000005</v>
      </c>
      <c r="I305" s="10">
        <v>94538000</v>
      </c>
    </row>
    <row r="306" spans="1:9" x14ac:dyDescent="0.25">
      <c r="A306" s="9">
        <v>2023</v>
      </c>
      <c r="B306" s="3">
        <v>8</v>
      </c>
      <c r="C306" s="3">
        <v>19100000000</v>
      </c>
      <c r="D306" s="3"/>
      <c r="E306" s="3"/>
      <c r="F306" s="3" t="s">
        <v>304</v>
      </c>
      <c r="G306" s="4">
        <v>3967140.2</v>
      </c>
      <c r="H306" s="4">
        <v>26293022.5</v>
      </c>
      <c r="I306" s="10">
        <v>37952000</v>
      </c>
    </row>
    <row r="307" spans="1:9" x14ac:dyDescent="0.25">
      <c r="A307" s="9">
        <v>2023</v>
      </c>
      <c r="B307" s="3">
        <v>8</v>
      </c>
      <c r="C307" s="3">
        <v>19110000000</v>
      </c>
      <c r="D307" s="3"/>
      <c r="E307" s="3"/>
      <c r="F307" s="3" t="s">
        <v>304</v>
      </c>
      <c r="G307" s="4">
        <v>3967140.2</v>
      </c>
      <c r="H307" s="4">
        <v>26293022.5</v>
      </c>
      <c r="I307" s="10">
        <v>37952000</v>
      </c>
    </row>
    <row r="308" spans="1:9" x14ac:dyDescent="0.25">
      <c r="A308" s="9">
        <v>2023</v>
      </c>
      <c r="B308" s="3">
        <v>8</v>
      </c>
      <c r="C308" s="3">
        <v>19110100000</v>
      </c>
      <c r="D308" s="3"/>
      <c r="E308" s="3"/>
      <c r="F308" s="3" t="s">
        <v>305</v>
      </c>
      <c r="G308" s="4">
        <v>136727.12</v>
      </c>
      <c r="H308" s="4">
        <v>1627204.5</v>
      </c>
      <c r="I308" s="10">
        <v>4124000</v>
      </c>
    </row>
    <row r="309" spans="1:9" x14ac:dyDescent="0.25">
      <c r="A309" s="9">
        <v>2023</v>
      </c>
      <c r="B309" s="3">
        <v>8</v>
      </c>
      <c r="C309" s="3">
        <v>19110101000</v>
      </c>
      <c r="D309" s="3"/>
      <c r="E309" s="3"/>
      <c r="F309" s="3" t="s">
        <v>306</v>
      </c>
      <c r="G309" s="4">
        <v>132213.67000000001</v>
      </c>
      <c r="H309" s="4">
        <v>1407356.59</v>
      </c>
      <c r="I309" s="10">
        <v>4122000</v>
      </c>
    </row>
    <row r="310" spans="1:9" x14ac:dyDescent="0.25">
      <c r="A310" s="9">
        <v>2023</v>
      </c>
      <c r="B310" s="3">
        <v>8</v>
      </c>
      <c r="C310" s="3">
        <v>19110101004</v>
      </c>
      <c r="D310" s="3">
        <v>1</v>
      </c>
      <c r="E310" s="3">
        <v>2011</v>
      </c>
      <c r="F310" s="3" t="s">
        <v>307</v>
      </c>
      <c r="G310" s="4">
        <v>47625.58</v>
      </c>
      <c r="H310" s="4">
        <v>338770.22</v>
      </c>
      <c r="I310" s="10">
        <v>765000</v>
      </c>
    </row>
    <row r="311" spans="1:9" x14ac:dyDescent="0.25">
      <c r="A311" s="9">
        <v>2023</v>
      </c>
      <c r="B311" s="3">
        <v>8</v>
      </c>
      <c r="C311" s="3">
        <v>19110101005</v>
      </c>
      <c r="D311" s="3">
        <v>6</v>
      </c>
      <c r="E311" s="3">
        <v>2046</v>
      </c>
      <c r="F311" s="3" t="s">
        <v>308</v>
      </c>
      <c r="G311" s="3">
        <v>0</v>
      </c>
      <c r="H311" s="3">
        <v>0</v>
      </c>
      <c r="I311" s="10">
        <v>18000</v>
      </c>
    </row>
    <row r="312" spans="1:9" x14ac:dyDescent="0.25">
      <c r="A312" s="9">
        <v>2023</v>
      </c>
      <c r="B312" s="3">
        <v>8</v>
      </c>
      <c r="C312" s="3">
        <v>19110101006</v>
      </c>
      <c r="D312" s="3">
        <v>6</v>
      </c>
      <c r="E312" s="3">
        <v>2070</v>
      </c>
      <c r="F312" s="3" t="s">
        <v>309</v>
      </c>
      <c r="G312" s="4">
        <v>20574.509999999998</v>
      </c>
      <c r="H312" s="4">
        <v>150799.15</v>
      </c>
      <c r="I312" s="10">
        <v>274000</v>
      </c>
    </row>
    <row r="313" spans="1:9" x14ac:dyDescent="0.25">
      <c r="A313" s="9">
        <v>2023</v>
      </c>
      <c r="B313" s="3">
        <v>8</v>
      </c>
      <c r="C313" s="3">
        <v>19110101008</v>
      </c>
      <c r="D313" s="3">
        <v>6</v>
      </c>
      <c r="E313" s="3">
        <v>2072</v>
      </c>
      <c r="F313" s="3" t="s">
        <v>310</v>
      </c>
      <c r="G313" s="4">
        <v>17247.97</v>
      </c>
      <c r="H313" s="4">
        <v>73964.14</v>
      </c>
      <c r="I313" s="10">
        <v>65000</v>
      </c>
    </row>
    <row r="314" spans="1:9" x14ac:dyDescent="0.25">
      <c r="A314" s="9">
        <v>2023</v>
      </c>
      <c r="B314" s="3">
        <v>8</v>
      </c>
      <c r="C314" s="3">
        <v>19110101009</v>
      </c>
      <c r="D314" s="3">
        <v>3</v>
      </c>
      <c r="E314" s="3">
        <v>1950</v>
      </c>
      <c r="F314" s="3" t="s">
        <v>311</v>
      </c>
      <c r="G314" s="4">
        <v>46765.61</v>
      </c>
      <c r="H314" s="4">
        <v>843823.08</v>
      </c>
      <c r="I314" s="10">
        <v>3000000</v>
      </c>
    </row>
    <row r="315" spans="1:9" x14ac:dyDescent="0.25">
      <c r="A315" s="9">
        <v>2023</v>
      </c>
      <c r="B315" s="3">
        <v>8</v>
      </c>
      <c r="C315" s="3">
        <v>19110102000</v>
      </c>
      <c r="D315" s="3"/>
      <c r="E315" s="3"/>
      <c r="F315" s="3" t="s">
        <v>312</v>
      </c>
      <c r="G315" s="3">
        <v>0</v>
      </c>
      <c r="H315" s="4">
        <v>4086.2</v>
      </c>
      <c r="I315" s="11">
        <v>0</v>
      </c>
    </row>
    <row r="316" spans="1:9" x14ac:dyDescent="0.25">
      <c r="A316" s="9">
        <v>2023</v>
      </c>
      <c r="B316" s="3">
        <v>8</v>
      </c>
      <c r="C316" s="3">
        <v>19110102001</v>
      </c>
      <c r="D316" s="3">
        <v>3</v>
      </c>
      <c r="E316" s="3">
        <v>2075</v>
      </c>
      <c r="F316" s="3" t="s">
        <v>313</v>
      </c>
      <c r="G316" s="3">
        <v>0</v>
      </c>
      <c r="H316" s="4">
        <v>4086.2</v>
      </c>
      <c r="I316" s="11">
        <v>0</v>
      </c>
    </row>
    <row r="317" spans="1:9" x14ac:dyDescent="0.25">
      <c r="A317" s="9">
        <v>2023</v>
      </c>
      <c r="B317" s="3">
        <v>8</v>
      </c>
      <c r="C317" s="3">
        <v>19110103000</v>
      </c>
      <c r="D317" s="3"/>
      <c r="E317" s="3"/>
      <c r="F317" s="3" t="s">
        <v>314</v>
      </c>
      <c r="G317" s="4">
        <v>2405.64</v>
      </c>
      <c r="H317" s="4">
        <v>103437.47</v>
      </c>
      <c r="I317" s="10">
        <v>2000</v>
      </c>
    </row>
    <row r="318" spans="1:9" x14ac:dyDescent="0.25">
      <c r="A318" s="9">
        <v>2023</v>
      </c>
      <c r="B318" s="3">
        <v>8</v>
      </c>
      <c r="C318" s="3">
        <v>19110103003</v>
      </c>
      <c r="D318" s="3">
        <v>1</v>
      </c>
      <c r="E318" s="3">
        <v>2062</v>
      </c>
      <c r="F318" s="3" t="s">
        <v>315</v>
      </c>
      <c r="G318" s="3">
        <v>12.25</v>
      </c>
      <c r="H318" s="3">
        <v>327.22000000000003</v>
      </c>
      <c r="I318" s="10">
        <v>2000</v>
      </c>
    </row>
    <row r="319" spans="1:9" x14ac:dyDescent="0.25">
      <c r="A319" s="9">
        <v>2023</v>
      </c>
      <c r="B319" s="3">
        <v>8</v>
      </c>
      <c r="C319" s="3">
        <v>19110103004</v>
      </c>
      <c r="D319" s="3">
        <v>3</v>
      </c>
      <c r="E319" s="3">
        <v>2074</v>
      </c>
      <c r="F319" s="3" t="s">
        <v>316</v>
      </c>
      <c r="G319" s="4">
        <v>2393.39</v>
      </c>
      <c r="H319" s="4">
        <v>103110.25</v>
      </c>
      <c r="I319" s="11">
        <v>0</v>
      </c>
    </row>
    <row r="320" spans="1:9" x14ac:dyDescent="0.25">
      <c r="A320" s="9">
        <v>2023</v>
      </c>
      <c r="B320" s="3">
        <v>8</v>
      </c>
      <c r="C320" s="3">
        <v>19110104000</v>
      </c>
      <c r="D320" s="3"/>
      <c r="E320" s="3"/>
      <c r="F320" s="3" t="s">
        <v>317</v>
      </c>
      <c r="G320" s="4">
        <v>2107.81</v>
      </c>
      <c r="H320" s="4">
        <v>112324.24</v>
      </c>
      <c r="I320" s="11">
        <v>0</v>
      </c>
    </row>
    <row r="321" spans="1:9" x14ac:dyDescent="0.25">
      <c r="A321" s="9">
        <v>2023</v>
      </c>
      <c r="B321" s="3">
        <v>8</v>
      </c>
      <c r="C321" s="3">
        <v>19110104001</v>
      </c>
      <c r="D321" s="3">
        <v>3</v>
      </c>
      <c r="E321" s="3">
        <v>2073</v>
      </c>
      <c r="F321" s="3" t="s">
        <v>318</v>
      </c>
      <c r="G321" s="4">
        <v>2107.81</v>
      </c>
      <c r="H321" s="4">
        <v>112324.24</v>
      </c>
      <c r="I321" s="11">
        <v>0</v>
      </c>
    </row>
    <row r="322" spans="1:9" x14ac:dyDescent="0.25">
      <c r="A322" s="9">
        <v>2023</v>
      </c>
      <c r="B322" s="3">
        <v>8</v>
      </c>
      <c r="C322" s="3">
        <v>19110900000</v>
      </c>
      <c r="D322" s="3"/>
      <c r="E322" s="3"/>
      <c r="F322" s="3" t="s">
        <v>319</v>
      </c>
      <c r="G322" s="4">
        <v>40999.56</v>
      </c>
      <c r="H322" s="4">
        <v>53335.89</v>
      </c>
      <c r="I322" s="11">
        <v>0</v>
      </c>
    </row>
    <row r="323" spans="1:9" x14ac:dyDescent="0.25">
      <c r="A323" s="9">
        <v>2023</v>
      </c>
      <c r="B323" s="3">
        <v>8</v>
      </c>
      <c r="C323" s="3">
        <v>19110901000</v>
      </c>
      <c r="D323" s="3">
        <v>1</v>
      </c>
      <c r="E323" s="3">
        <v>2006</v>
      </c>
      <c r="F323" s="3" t="s">
        <v>320</v>
      </c>
      <c r="G323" s="4">
        <v>40999.56</v>
      </c>
      <c r="H323" s="4">
        <v>53335.89</v>
      </c>
      <c r="I323" s="11">
        <v>0</v>
      </c>
    </row>
    <row r="324" spans="1:9" x14ac:dyDescent="0.25">
      <c r="A324" s="9">
        <v>2023</v>
      </c>
      <c r="B324" s="3">
        <v>8</v>
      </c>
      <c r="C324" s="3">
        <v>19111400000</v>
      </c>
      <c r="D324" s="3"/>
      <c r="E324" s="3"/>
      <c r="F324" s="3" t="s">
        <v>321</v>
      </c>
      <c r="G324" s="4">
        <v>3789413.52</v>
      </c>
      <c r="H324" s="4">
        <v>24612482.109999999</v>
      </c>
      <c r="I324" s="10">
        <v>33828000</v>
      </c>
    </row>
    <row r="325" spans="1:9" x14ac:dyDescent="0.25">
      <c r="A325" s="9">
        <v>2023</v>
      </c>
      <c r="B325" s="3">
        <v>8</v>
      </c>
      <c r="C325" s="3">
        <v>19111401001</v>
      </c>
      <c r="D325" s="3">
        <v>3</v>
      </c>
      <c r="E325" s="3">
        <v>2127</v>
      </c>
      <c r="F325" s="3" t="s">
        <v>322</v>
      </c>
      <c r="G325" s="4">
        <v>3789413.52</v>
      </c>
      <c r="H325" s="4">
        <v>24612482.109999999</v>
      </c>
      <c r="I325" s="10">
        <v>31980000</v>
      </c>
    </row>
    <row r="326" spans="1:9" x14ac:dyDescent="0.25">
      <c r="A326" s="9">
        <v>2023</v>
      </c>
      <c r="B326" s="3">
        <v>8</v>
      </c>
      <c r="C326" s="3">
        <v>19111401003</v>
      </c>
      <c r="D326" s="3">
        <v>3</v>
      </c>
      <c r="E326" s="3">
        <v>2128</v>
      </c>
      <c r="F326" s="3" t="s">
        <v>323</v>
      </c>
      <c r="G326" s="3">
        <v>0</v>
      </c>
      <c r="H326" s="3">
        <v>0</v>
      </c>
      <c r="I326" s="10">
        <v>1845000</v>
      </c>
    </row>
    <row r="327" spans="1:9" x14ac:dyDescent="0.25">
      <c r="A327" s="9">
        <v>2023</v>
      </c>
      <c r="B327" s="3">
        <v>8</v>
      </c>
      <c r="C327" s="3">
        <v>19111404001</v>
      </c>
      <c r="D327" s="3">
        <v>3</v>
      </c>
      <c r="E327" s="3">
        <v>2760</v>
      </c>
      <c r="F327" s="3" t="s">
        <v>324</v>
      </c>
      <c r="G327" s="3">
        <v>0</v>
      </c>
      <c r="H327" s="3">
        <v>0</v>
      </c>
      <c r="I327" s="10">
        <v>2000</v>
      </c>
    </row>
    <row r="328" spans="1:9" x14ac:dyDescent="0.25">
      <c r="A328" s="9">
        <v>2023</v>
      </c>
      <c r="B328" s="3">
        <v>8</v>
      </c>
      <c r="C328" s="3">
        <v>19111404002</v>
      </c>
      <c r="D328" s="3">
        <v>3</v>
      </c>
      <c r="E328" s="3">
        <v>2770</v>
      </c>
      <c r="F328" s="3" t="s">
        <v>325</v>
      </c>
      <c r="G328" s="3">
        <v>0</v>
      </c>
      <c r="H328" s="3">
        <v>0</v>
      </c>
      <c r="I328" s="10">
        <v>1000</v>
      </c>
    </row>
    <row r="329" spans="1:9" x14ac:dyDescent="0.25">
      <c r="A329" s="9">
        <v>2023</v>
      </c>
      <c r="B329" s="3">
        <v>8</v>
      </c>
      <c r="C329" s="3">
        <v>19200000000</v>
      </c>
      <c r="D329" s="3"/>
      <c r="E329" s="3"/>
      <c r="F329" s="3" t="s">
        <v>326</v>
      </c>
      <c r="G329" s="4">
        <v>114312.37</v>
      </c>
      <c r="H329" s="4">
        <v>8059418.0099999998</v>
      </c>
      <c r="I329" s="10">
        <v>68000</v>
      </c>
    </row>
    <row r="330" spans="1:9" x14ac:dyDescent="0.25">
      <c r="A330" s="9">
        <v>2023</v>
      </c>
      <c r="B330" s="3">
        <v>8</v>
      </c>
      <c r="C330" s="3">
        <v>19210000000</v>
      </c>
      <c r="D330" s="3"/>
      <c r="E330" s="3"/>
      <c r="F330" s="3" t="s">
        <v>327</v>
      </c>
      <c r="G330" s="4">
        <v>22665.63</v>
      </c>
      <c r="H330" s="4">
        <v>461732.44</v>
      </c>
      <c r="I330" s="10">
        <v>68000</v>
      </c>
    </row>
    <row r="331" spans="1:9" x14ac:dyDescent="0.25">
      <c r="A331" s="9">
        <v>2023</v>
      </c>
      <c r="B331" s="3">
        <v>8</v>
      </c>
      <c r="C331" s="3">
        <v>19219900000</v>
      </c>
      <c r="D331" s="3"/>
      <c r="E331" s="3"/>
      <c r="F331" s="3" t="s">
        <v>328</v>
      </c>
      <c r="G331" s="4">
        <v>22665.63</v>
      </c>
      <c r="H331" s="4">
        <v>461732.44</v>
      </c>
      <c r="I331" s="10">
        <v>68000</v>
      </c>
    </row>
    <row r="332" spans="1:9" x14ac:dyDescent="0.25">
      <c r="A332" s="9">
        <v>2023</v>
      </c>
      <c r="B332" s="3">
        <v>8</v>
      </c>
      <c r="C332" s="3">
        <v>19219901001</v>
      </c>
      <c r="D332" s="3">
        <v>1</v>
      </c>
      <c r="E332" s="3">
        <v>2171</v>
      </c>
      <c r="F332" s="3" t="s">
        <v>329</v>
      </c>
      <c r="G332" s="4">
        <v>22665.63</v>
      </c>
      <c r="H332" s="4">
        <v>461732.44</v>
      </c>
      <c r="I332" s="10">
        <v>68000</v>
      </c>
    </row>
    <row r="333" spans="1:9" x14ac:dyDescent="0.25">
      <c r="A333" s="9">
        <v>2023</v>
      </c>
      <c r="B333" s="3">
        <v>8</v>
      </c>
      <c r="C333" s="3">
        <v>19220000000</v>
      </c>
      <c r="D333" s="3"/>
      <c r="E333" s="3"/>
      <c r="F333" s="3" t="s">
        <v>330</v>
      </c>
      <c r="G333" s="4">
        <v>91646.74</v>
      </c>
      <c r="H333" s="4">
        <v>7597685.5700000003</v>
      </c>
      <c r="I333" s="11">
        <v>0</v>
      </c>
    </row>
    <row r="334" spans="1:9" x14ac:dyDescent="0.25">
      <c r="A334" s="9">
        <v>2023</v>
      </c>
      <c r="B334" s="3">
        <v>8</v>
      </c>
      <c r="C334" s="3">
        <v>19220600000</v>
      </c>
      <c r="D334" s="3"/>
      <c r="E334" s="3"/>
      <c r="F334" s="3" t="s">
        <v>331</v>
      </c>
      <c r="G334" s="4">
        <v>91646.74</v>
      </c>
      <c r="H334" s="4">
        <v>7597685.5700000003</v>
      </c>
      <c r="I334" s="11">
        <v>0</v>
      </c>
    </row>
    <row r="335" spans="1:9" x14ac:dyDescent="0.25">
      <c r="A335" s="9">
        <v>2023</v>
      </c>
      <c r="B335" s="3">
        <v>8</v>
      </c>
      <c r="C335" s="3">
        <v>19220630000</v>
      </c>
      <c r="D335" s="3"/>
      <c r="E335" s="3"/>
      <c r="F335" s="3" t="s">
        <v>332</v>
      </c>
      <c r="G335" s="4">
        <v>91646.74</v>
      </c>
      <c r="H335" s="4">
        <v>7597685.5700000003</v>
      </c>
      <c r="I335" s="11">
        <v>0</v>
      </c>
    </row>
    <row r="336" spans="1:9" x14ac:dyDescent="0.25">
      <c r="A336" s="9">
        <v>2023</v>
      </c>
      <c r="B336" s="3">
        <v>8</v>
      </c>
      <c r="C336" s="3">
        <v>19220631001</v>
      </c>
      <c r="D336" s="3">
        <v>1</v>
      </c>
      <c r="E336" s="3">
        <v>2170</v>
      </c>
      <c r="F336" s="3" t="s">
        <v>333</v>
      </c>
      <c r="G336" s="4">
        <v>91646.74</v>
      </c>
      <c r="H336" s="4">
        <v>7597685.5700000003</v>
      </c>
      <c r="I336" s="11">
        <v>0</v>
      </c>
    </row>
    <row r="337" spans="1:9" x14ac:dyDescent="0.25">
      <c r="A337" s="9">
        <v>2023</v>
      </c>
      <c r="B337" s="3">
        <v>8</v>
      </c>
      <c r="C337" s="3">
        <v>19900000000</v>
      </c>
      <c r="D337" s="3"/>
      <c r="E337" s="3"/>
      <c r="F337" s="3" t="s">
        <v>334</v>
      </c>
      <c r="G337" s="4">
        <v>7305049.5099999998</v>
      </c>
      <c r="H337" s="4">
        <v>44845966.359999999</v>
      </c>
      <c r="I337" s="10">
        <v>56518000</v>
      </c>
    </row>
    <row r="338" spans="1:9" x14ac:dyDescent="0.25">
      <c r="A338" s="9">
        <v>2023</v>
      </c>
      <c r="B338" s="3">
        <v>8</v>
      </c>
      <c r="C338" s="3">
        <v>19990000000</v>
      </c>
      <c r="D338" s="3"/>
      <c r="E338" s="3"/>
      <c r="F338" s="3" t="s">
        <v>303</v>
      </c>
      <c r="G338" s="4">
        <v>7305049.5099999998</v>
      </c>
      <c r="H338" s="4">
        <v>44845966.359999999</v>
      </c>
      <c r="I338" s="10">
        <v>56518000</v>
      </c>
    </row>
    <row r="339" spans="1:9" x14ac:dyDescent="0.25">
      <c r="A339" s="9">
        <v>2023</v>
      </c>
      <c r="B339" s="3">
        <v>8</v>
      </c>
      <c r="C339" s="3">
        <v>19999900000</v>
      </c>
      <c r="D339" s="3"/>
      <c r="E339" s="3"/>
      <c r="F339" s="3" t="s">
        <v>335</v>
      </c>
      <c r="G339" s="4">
        <v>7305049.5099999998</v>
      </c>
      <c r="H339" s="4">
        <v>44845966.359999999</v>
      </c>
      <c r="I339" s="10">
        <v>56518000</v>
      </c>
    </row>
    <row r="340" spans="1:9" x14ac:dyDescent="0.25">
      <c r="A340" s="9">
        <v>2023</v>
      </c>
      <c r="B340" s="3">
        <v>8</v>
      </c>
      <c r="C340" s="3">
        <v>19999920000</v>
      </c>
      <c r="D340" s="3"/>
      <c r="E340" s="3"/>
      <c r="F340" s="3" t="s">
        <v>336</v>
      </c>
      <c r="G340" s="4">
        <v>7305049.5099999998</v>
      </c>
      <c r="H340" s="4">
        <v>44845966.359999999</v>
      </c>
      <c r="I340" s="10">
        <v>56518000</v>
      </c>
    </row>
    <row r="341" spans="1:9" x14ac:dyDescent="0.25">
      <c r="A341" s="9">
        <v>2023</v>
      </c>
      <c r="B341" s="3">
        <v>8</v>
      </c>
      <c r="C341" s="3">
        <v>19999921001</v>
      </c>
      <c r="D341" s="3">
        <v>3</v>
      </c>
      <c r="E341" s="3">
        <v>2194</v>
      </c>
      <c r="F341" s="3" t="s">
        <v>337</v>
      </c>
      <c r="G341" s="3">
        <v>0</v>
      </c>
      <c r="H341" s="3">
        <v>0</v>
      </c>
      <c r="I341" s="10">
        <v>2000</v>
      </c>
    </row>
    <row r="342" spans="1:9" x14ac:dyDescent="0.25">
      <c r="A342" s="9">
        <v>2023</v>
      </c>
      <c r="B342" s="3">
        <v>8</v>
      </c>
      <c r="C342" s="3">
        <v>19999921002</v>
      </c>
      <c r="D342" s="3">
        <v>3</v>
      </c>
      <c r="E342" s="3">
        <v>2135</v>
      </c>
      <c r="F342" s="3" t="s">
        <v>338</v>
      </c>
      <c r="G342" s="4">
        <v>707271.36</v>
      </c>
      <c r="H342" s="4">
        <v>9288986.0199999996</v>
      </c>
      <c r="I342" s="10">
        <v>11745000</v>
      </c>
    </row>
    <row r="343" spans="1:9" x14ac:dyDescent="0.25">
      <c r="A343" s="9">
        <v>2023</v>
      </c>
      <c r="B343" s="3">
        <v>8</v>
      </c>
      <c r="C343" s="3">
        <v>19999921003</v>
      </c>
      <c r="D343" s="3">
        <v>3</v>
      </c>
      <c r="E343" s="3">
        <v>1580</v>
      </c>
      <c r="F343" s="3" t="s">
        <v>339</v>
      </c>
      <c r="G343" s="3">
        <v>0</v>
      </c>
      <c r="H343" s="3">
        <v>0</v>
      </c>
      <c r="I343" s="10">
        <v>1000</v>
      </c>
    </row>
    <row r="344" spans="1:9" x14ac:dyDescent="0.25">
      <c r="A344" s="9">
        <v>2023</v>
      </c>
      <c r="B344" s="3">
        <v>8</v>
      </c>
      <c r="C344" s="3">
        <v>19999921004</v>
      </c>
      <c r="D344" s="3">
        <v>1</v>
      </c>
      <c r="E344" s="3">
        <v>2089</v>
      </c>
      <c r="F344" s="3" t="s">
        <v>340</v>
      </c>
      <c r="G344" s="4">
        <v>74530.73</v>
      </c>
      <c r="H344" s="4">
        <v>2490505.17</v>
      </c>
      <c r="I344" s="10">
        <v>1626000</v>
      </c>
    </row>
    <row r="345" spans="1:9" x14ac:dyDescent="0.25">
      <c r="A345" s="9">
        <v>2023</v>
      </c>
      <c r="B345" s="3">
        <v>8</v>
      </c>
      <c r="C345" s="3">
        <v>19999921005</v>
      </c>
      <c r="D345" s="3">
        <v>1</v>
      </c>
      <c r="E345" s="3">
        <v>2097</v>
      </c>
      <c r="F345" s="3" t="s">
        <v>341</v>
      </c>
      <c r="G345" s="3">
        <v>0</v>
      </c>
      <c r="H345" s="3">
        <v>0</v>
      </c>
      <c r="I345" s="10">
        <v>4000</v>
      </c>
    </row>
    <row r="346" spans="1:9" x14ac:dyDescent="0.25">
      <c r="A346" s="9">
        <v>2023</v>
      </c>
      <c r="B346" s="3">
        <v>8</v>
      </c>
      <c r="C346" s="3">
        <v>19999921006</v>
      </c>
      <c r="D346" s="3">
        <v>3</v>
      </c>
      <c r="E346" s="3">
        <v>2160</v>
      </c>
      <c r="F346" s="3" t="s">
        <v>342</v>
      </c>
      <c r="G346" s="4">
        <v>223832.39</v>
      </c>
      <c r="H346" s="4">
        <v>2005346.92</v>
      </c>
      <c r="I346" s="10">
        <v>2016000</v>
      </c>
    </row>
    <row r="347" spans="1:9" x14ac:dyDescent="0.25">
      <c r="A347" s="9">
        <v>2023</v>
      </c>
      <c r="B347" s="3">
        <v>8</v>
      </c>
      <c r="C347" s="3">
        <v>19999921007</v>
      </c>
      <c r="D347" s="3">
        <v>3</v>
      </c>
      <c r="E347" s="3">
        <v>2970</v>
      </c>
      <c r="F347" s="3" t="s">
        <v>343</v>
      </c>
      <c r="G347" s="3">
        <v>0</v>
      </c>
      <c r="H347" s="3">
        <v>0</v>
      </c>
      <c r="I347" s="10">
        <v>1000</v>
      </c>
    </row>
    <row r="348" spans="1:9" x14ac:dyDescent="0.25">
      <c r="A348" s="9">
        <v>2023</v>
      </c>
      <c r="B348" s="3">
        <v>8</v>
      </c>
      <c r="C348" s="3">
        <v>19999921008</v>
      </c>
      <c r="D348" s="3">
        <v>3</v>
      </c>
      <c r="E348" s="3">
        <v>1520</v>
      </c>
      <c r="F348" s="3" t="s">
        <v>344</v>
      </c>
      <c r="G348" s="3">
        <v>0</v>
      </c>
      <c r="H348" s="3">
        <v>0</v>
      </c>
      <c r="I348" s="10">
        <v>1000</v>
      </c>
    </row>
    <row r="349" spans="1:9" x14ac:dyDescent="0.25">
      <c r="A349" s="9">
        <v>2023</v>
      </c>
      <c r="B349" s="3">
        <v>8</v>
      </c>
      <c r="C349" s="3">
        <v>19999921009</v>
      </c>
      <c r="D349" s="3">
        <v>1</v>
      </c>
      <c r="E349" s="3">
        <v>2208</v>
      </c>
      <c r="F349" s="3" t="s">
        <v>345</v>
      </c>
      <c r="G349" s="4">
        <v>1534144.33</v>
      </c>
      <c r="H349" s="4">
        <v>11057998.529999999</v>
      </c>
      <c r="I349" s="10">
        <v>13860000</v>
      </c>
    </row>
    <row r="350" spans="1:9" x14ac:dyDescent="0.25">
      <c r="A350" s="9">
        <v>2023</v>
      </c>
      <c r="B350" s="3">
        <v>8</v>
      </c>
      <c r="C350" s="3">
        <v>19999921010</v>
      </c>
      <c r="D350" s="3">
        <v>3</v>
      </c>
      <c r="E350" s="3">
        <v>2348</v>
      </c>
      <c r="F350" s="3" t="s">
        <v>346</v>
      </c>
      <c r="G350" s="4">
        <v>34905.53</v>
      </c>
      <c r="H350" s="4">
        <v>489695.52</v>
      </c>
      <c r="I350" s="10">
        <v>254000</v>
      </c>
    </row>
    <row r="351" spans="1:9" x14ac:dyDescent="0.25">
      <c r="A351" s="9">
        <v>2023</v>
      </c>
      <c r="B351" s="3">
        <v>8</v>
      </c>
      <c r="C351" s="3">
        <v>19999921011</v>
      </c>
      <c r="D351" s="3">
        <v>3</v>
      </c>
      <c r="E351" s="3">
        <v>2350</v>
      </c>
      <c r="F351" s="3" t="s">
        <v>347</v>
      </c>
      <c r="G351" s="3">
        <v>0</v>
      </c>
      <c r="H351" s="3">
        <v>0</v>
      </c>
      <c r="I351" s="10">
        <v>1000</v>
      </c>
    </row>
    <row r="352" spans="1:9" x14ac:dyDescent="0.25">
      <c r="A352" s="9">
        <v>2023</v>
      </c>
      <c r="B352" s="3">
        <v>8</v>
      </c>
      <c r="C352" s="3">
        <v>19999921012</v>
      </c>
      <c r="D352" s="3">
        <v>3</v>
      </c>
      <c r="E352" s="3">
        <v>2987</v>
      </c>
      <c r="F352" s="3" t="s">
        <v>348</v>
      </c>
      <c r="G352" s="4">
        <v>758369.01</v>
      </c>
      <c r="H352" s="4">
        <v>1405239.9</v>
      </c>
      <c r="I352" s="10">
        <v>1470000</v>
      </c>
    </row>
    <row r="353" spans="1:9" x14ac:dyDescent="0.25">
      <c r="A353" s="9">
        <v>2023</v>
      </c>
      <c r="B353" s="3">
        <v>8</v>
      </c>
      <c r="C353" s="3">
        <v>19999921013</v>
      </c>
      <c r="D353" s="3">
        <v>3</v>
      </c>
      <c r="E353" s="3">
        <v>2988</v>
      </c>
      <c r="F353" s="3" t="s">
        <v>349</v>
      </c>
      <c r="G353" s="3">
        <v>0</v>
      </c>
      <c r="H353" s="3">
        <v>0</v>
      </c>
      <c r="I353" s="10">
        <v>720000</v>
      </c>
    </row>
    <row r="354" spans="1:9" x14ac:dyDescent="0.25">
      <c r="A354" s="9">
        <v>2023</v>
      </c>
      <c r="B354" s="3">
        <v>8</v>
      </c>
      <c r="C354" s="3">
        <v>19999921014</v>
      </c>
      <c r="D354" s="3">
        <v>3</v>
      </c>
      <c r="E354" s="3">
        <v>2989</v>
      </c>
      <c r="F354" s="3" t="s">
        <v>350</v>
      </c>
      <c r="G354" s="4">
        <v>228619.85</v>
      </c>
      <c r="H354" s="4">
        <v>1875180.42</v>
      </c>
      <c r="I354" s="10">
        <v>901000</v>
      </c>
    </row>
    <row r="355" spans="1:9" x14ac:dyDescent="0.25">
      <c r="A355" s="9">
        <v>2023</v>
      </c>
      <c r="B355" s="3">
        <v>8</v>
      </c>
      <c r="C355" s="3">
        <v>19999921018</v>
      </c>
      <c r="D355" s="3">
        <v>3</v>
      </c>
      <c r="E355" s="3">
        <v>2967</v>
      </c>
      <c r="F355" s="3" t="s">
        <v>351</v>
      </c>
      <c r="G355" s="4">
        <v>104637.82</v>
      </c>
      <c r="H355" s="4">
        <v>916245.79</v>
      </c>
      <c r="I355" s="10">
        <v>1176000</v>
      </c>
    </row>
    <row r="356" spans="1:9" x14ac:dyDescent="0.25">
      <c r="A356" s="9">
        <v>2023</v>
      </c>
      <c r="B356" s="3">
        <v>8</v>
      </c>
      <c r="C356" s="3">
        <v>19999921019</v>
      </c>
      <c r="D356" s="3">
        <v>3</v>
      </c>
      <c r="E356" s="3">
        <v>2891</v>
      </c>
      <c r="F356" s="3" t="s">
        <v>352</v>
      </c>
      <c r="G356" s="3">
        <v>0</v>
      </c>
      <c r="H356" s="3">
        <v>0</v>
      </c>
      <c r="I356" s="10">
        <v>6000</v>
      </c>
    </row>
    <row r="357" spans="1:9" x14ac:dyDescent="0.25">
      <c r="A357" s="9">
        <v>2023</v>
      </c>
      <c r="B357" s="3">
        <v>8</v>
      </c>
      <c r="C357" s="3">
        <v>19999921020</v>
      </c>
      <c r="D357" s="3">
        <v>1</v>
      </c>
      <c r="E357" s="3">
        <v>2605</v>
      </c>
      <c r="F357" s="3" t="s">
        <v>353</v>
      </c>
      <c r="G357" s="4">
        <v>1798.08</v>
      </c>
      <c r="H357" s="4">
        <v>45077.77</v>
      </c>
      <c r="I357" s="10">
        <v>26000</v>
      </c>
    </row>
    <row r="358" spans="1:9" x14ac:dyDescent="0.25">
      <c r="A358" s="9">
        <v>2023</v>
      </c>
      <c r="B358" s="3">
        <v>8</v>
      </c>
      <c r="C358" s="3">
        <v>19999921021</v>
      </c>
      <c r="D358" s="3">
        <v>3</v>
      </c>
      <c r="E358" s="3">
        <v>2892</v>
      </c>
      <c r="F358" s="3" t="s">
        <v>354</v>
      </c>
      <c r="G358" s="4">
        <v>1292492.42</v>
      </c>
      <c r="H358" s="4">
        <v>4771832.97</v>
      </c>
      <c r="I358" s="10">
        <v>6314000</v>
      </c>
    </row>
    <row r="359" spans="1:9" x14ac:dyDescent="0.25">
      <c r="A359" s="9">
        <v>2023</v>
      </c>
      <c r="B359" s="3">
        <v>8</v>
      </c>
      <c r="C359" s="3">
        <v>19999921023</v>
      </c>
      <c r="D359" s="3">
        <v>6</v>
      </c>
      <c r="E359" s="3">
        <v>2720</v>
      </c>
      <c r="F359" s="3" t="s">
        <v>355</v>
      </c>
      <c r="G359" s="4">
        <v>12460</v>
      </c>
      <c r="H359" s="4">
        <v>66220</v>
      </c>
      <c r="I359" s="10">
        <v>123000</v>
      </c>
    </row>
    <row r="360" spans="1:9" x14ac:dyDescent="0.25">
      <c r="A360" s="9">
        <v>2023</v>
      </c>
      <c r="B360" s="3">
        <v>8</v>
      </c>
      <c r="C360" s="3">
        <v>19999921032</v>
      </c>
      <c r="D360" s="3">
        <v>3</v>
      </c>
      <c r="E360" s="3">
        <v>2893</v>
      </c>
      <c r="F360" s="3" t="s">
        <v>356</v>
      </c>
      <c r="G360" s="4">
        <v>1200784.95</v>
      </c>
      <c r="H360" s="4">
        <v>1309190.3999999999</v>
      </c>
      <c r="I360" s="10">
        <v>2828000</v>
      </c>
    </row>
    <row r="361" spans="1:9" x14ac:dyDescent="0.25">
      <c r="A361" s="9">
        <v>2023</v>
      </c>
      <c r="B361" s="3">
        <v>8</v>
      </c>
      <c r="C361" s="3">
        <v>19999923001</v>
      </c>
      <c r="D361" s="3">
        <v>1</v>
      </c>
      <c r="E361" s="3">
        <v>2461</v>
      </c>
      <c r="F361" s="3" t="s">
        <v>357</v>
      </c>
      <c r="G361" s="4">
        <v>540753.02</v>
      </c>
      <c r="H361" s="4">
        <v>4838515.68</v>
      </c>
      <c r="I361" s="10">
        <v>6805000</v>
      </c>
    </row>
    <row r="362" spans="1:9" x14ac:dyDescent="0.25">
      <c r="A362" s="9">
        <v>2023</v>
      </c>
      <c r="B362" s="3">
        <v>8</v>
      </c>
      <c r="C362" s="3">
        <v>19999924001</v>
      </c>
      <c r="D362" s="3">
        <v>1</v>
      </c>
      <c r="E362" s="3">
        <v>1690</v>
      </c>
      <c r="F362" s="3" t="s">
        <v>358</v>
      </c>
      <c r="G362" s="4">
        <v>590450.02</v>
      </c>
      <c r="H362" s="4">
        <v>4285931.2699999996</v>
      </c>
      <c r="I362" s="10">
        <v>6638000</v>
      </c>
    </row>
    <row r="363" spans="1:9" x14ac:dyDescent="0.25">
      <c r="A363" s="9">
        <v>2023</v>
      </c>
      <c r="B363" s="3">
        <v>8</v>
      </c>
      <c r="C363" s="3">
        <v>20000000000</v>
      </c>
      <c r="D363" s="3"/>
      <c r="E363" s="3"/>
      <c r="F363" s="3" t="s">
        <v>359</v>
      </c>
      <c r="G363" s="4">
        <v>7008990.9900000002</v>
      </c>
      <c r="H363" s="4">
        <v>18796808.43</v>
      </c>
      <c r="I363" s="10">
        <v>15054000</v>
      </c>
    </row>
    <row r="364" spans="1:9" x14ac:dyDescent="0.25">
      <c r="A364" s="9">
        <v>2023</v>
      </c>
      <c r="B364" s="3">
        <v>8</v>
      </c>
      <c r="C364" s="3">
        <v>24000000000</v>
      </c>
      <c r="D364" s="3"/>
      <c r="E364" s="3"/>
      <c r="F364" s="3" t="s">
        <v>360</v>
      </c>
      <c r="G364" s="4">
        <v>7008990.9900000002</v>
      </c>
      <c r="H364" s="4">
        <v>18796808.43</v>
      </c>
      <c r="I364" s="10">
        <v>15054000</v>
      </c>
    </row>
    <row r="365" spans="1:9" x14ac:dyDescent="0.25">
      <c r="A365" s="9">
        <v>2023</v>
      </c>
      <c r="B365" s="3">
        <v>8</v>
      </c>
      <c r="C365" s="3">
        <v>24100000000</v>
      </c>
      <c r="D365" s="3"/>
      <c r="E365" s="3"/>
      <c r="F365" s="3" t="s">
        <v>194</v>
      </c>
      <c r="G365" s="4">
        <v>5518592.5199999996</v>
      </c>
      <c r="H365" s="4">
        <v>8832200.1799999997</v>
      </c>
      <c r="I365" s="11">
        <v>0</v>
      </c>
    </row>
    <row r="366" spans="1:9" x14ac:dyDescent="0.25">
      <c r="A366" s="9">
        <v>2023</v>
      </c>
      <c r="B366" s="3">
        <v>8</v>
      </c>
      <c r="C366" s="3">
        <v>24110000000</v>
      </c>
      <c r="D366" s="3"/>
      <c r="E366" s="3"/>
      <c r="F366" s="3" t="s">
        <v>361</v>
      </c>
      <c r="G366" s="3">
        <v>0</v>
      </c>
      <c r="H366" s="4">
        <v>124848</v>
      </c>
      <c r="I366" s="11">
        <v>0</v>
      </c>
    </row>
    <row r="367" spans="1:9" x14ac:dyDescent="0.25">
      <c r="A367" s="9">
        <v>2023</v>
      </c>
      <c r="B367" s="3">
        <v>8</v>
      </c>
      <c r="C367" s="3">
        <v>24119900000</v>
      </c>
      <c r="D367" s="3"/>
      <c r="E367" s="3"/>
      <c r="F367" s="3" t="s">
        <v>362</v>
      </c>
      <c r="G367" s="3">
        <v>0</v>
      </c>
      <c r="H367" s="4">
        <v>124848</v>
      </c>
      <c r="I367" s="11">
        <v>0</v>
      </c>
    </row>
    <row r="368" spans="1:9" x14ac:dyDescent="0.25">
      <c r="A368" s="9">
        <v>2023</v>
      </c>
      <c r="B368" s="3">
        <v>8</v>
      </c>
      <c r="C368" s="3">
        <v>24119901005</v>
      </c>
      <c r="D368" s="3">
        <v>5</v>
      </c>
      <c r="E368" s="3">
        <v>2693</v>
      </c>
      <c r="F368" s="3" t="s">
        <v>363</v>
      </c>
      <c r="G368" s="3">
        <v>0</v>
      </c>
      <c r="H368" s="4">
        <v>124848</v>
      </c>
      <c r="I368" s="11">
        <v>0</v>
      </c>
    </row>
    <row r="369" spans="1:9" x14ac:dyDescent="0.25">
      <c r="A369" s="9">
        <v>2023</v>
      </c>
      <c r="B369" s="3">
        <v>8</v>
      </c>
      <c r="C369" s="3">
        <v>24130000000</v>
      </c>
      <c r="D369" s="3"/>
      <c r="E369" s="3"/>
      <c r="F369" s="3" t="s">
        <v>248</v>
      </c>
      <c r="G369" s="3">
        <v>0</v>
      </c>
      <c r="H369" s="4">
        <v>153931</v>
      </c>
      <c r="I369" s="11">
        <v>0</v>
      </c>
    </row>
    <row r="370" spans="1:9" x14ac:dyDescent="0.25">
      <c r="A370" s="9">
        <v>2023</v>
      </c>
      <c r="B370" s="3">
        <v>8</v>
      </c>
      <c r="C370" s="3">
        <v>24135000000</v>
      </c>
      <c r="D370" s="3"/>
      <c r="E370" s="3"/>
      <c r="F370" s="3" t="s">
        <v>249</v>
      </c>
      <c r="G370" s="3">
        <v>0</v>
      </c>
      <c r="H370" s="4">
        <v>153931</v>
      </c>
      <c r="I370" s="11">
        <v>0</v>
      </c>
    </row>
    <row r="371" spans="1:9" x14ac:dyDescent="0.25">
      <c r="A371" s="9">
        <v>2023</v>
      </c>
      <c r="B371" s="3">
        <v>8</v>
      </c>
      <c r="C371" s="3">
        <v>24135001003</v>
      </c>
      <c r="D371" s="3">
        <v>5</v>
      </c>
      <c r="E371" s="3">
        <v>2014</v>
      </c>
      <c r="F371" s="3" t="s">
        <v>364</v>
      </c>
      <c r="G371" s="3">
        <v>0</v>
      </c>
      <c r="H371" s="4">
        <v>153931</v>
      </c>
      <c r="I371" s="11">
        <v>0</v>
      </c>
    </row>
    <row r="372" spans="1:9" x14ac:dyDescent="0.25">
      <c r="A372" s="9">
        <v>2023</v>
      </c>
      <c r="B372" s="3">
        <v>8</v>
      </c>
      <c r="C372" s="3">
        <v>24140000000</v>
      </c>
      <c r="D372" s="3"/>
      <c r="E372" s="3"/>
      <c r="F372" s="3" t="s">
        <v>365</v>
      </c>
      <c r="G372" s="4">
        <v>165811.51999999999</v>
      </c>
      <c r="H372" s="4">
        <v>2200640.1800000002</v>
      </c>
      <c r="I372" s="11">
        <v>0</v>
      </c>
    </row>
    <row r="373" spans="1:9" x14ac:dyDescent="0.25">
      <c r="A373" s="9">
        <v>2023</v>
      </c>
      <c r="B373" s="3">
        <v>8</v>
      </c>
      <c r="C373" s="3">
        <v>24149900000</v>
      </c>
      <c r="D373" s="3"/>
      <c r="E373" s="3"/>
      <c r="F373" s="3" t="s">
        <v>366</v>
      </c>
      <c r="G373" s="4">
        <v>165811.51999999999</v>
      </c>
      <c r="H373" s="4">
        <v>2200640.1800000002</v>
      </c>
      <c r="I373" s="11">
        <v>0</v>
      </c>
    </row>
    <row r="374" spans="1:9" x14ac:dyDescent="0.25">
      <c r="A374" s="9">
        <v>2023</v>
      </c>
      <c r="B374" s="3">
        <v>8</v>
      </c>
      <c r="C374" s="3">
        <v>24149901008</v>
      </c>
      <c r="D374" s="3">
        <v>5</v>
      </c>
      <c r="E374" s="3">
        <v>2581</v>
      </c>
      <c r="F374" s="3" t="s">
        <v>367</v>
      </c>
      <c r="G374" s="3">
        <v>0</v>
      </c>
      <c r="H374" s="4">
        <v>29328.66</v>
      </c>
      <c r="I374" s="11">
        <v>0</v>
      </c>
    </row>
    <row r="375" spans="1:9" x14ac:dyDescent="0.25">
      <c r="A375" s="9">
        <v>2023</v>
      </c>
      <c r="B375" s="3">
        <v>8</v>
      </c>
      <c r="C375" s="3">
        <v>24149901023</v>
      </c>
      <c r="D375" s="3">
        <v>5</v>
      </c>
      <c r="E375" s="3">
        <v>2616</v>
      </c>
      <c r="F375" s="3" t="s">
        <v>368</v>
      </c>
      <c r="G375" s="3">
        <v>0</v>
      </c>
      <c r="H375" s="4">
        <v>955000</v>
      </c>
      <c r="I375" s="11">
        <v>0</v>
      </c>
    </row>
    <row r="376" spans="1:9" x14ac:dyDescent="0.25">
      <c r="A376" s="9">
        <v>2023</v>
      </c>
      <c r="B376" s="3">
        <v>8</v>
      </c>
      <c r="C376" s="3">
        <v>24149901035</v>
      </c>
      <c r="D376" s="3">
        <v>5</v>
      </c>
      <c r="E376" s="3">
        <v>2133</v>
      </c>
      <c r="F376" s="3" t="s">
        <v>369</v>
      </c>
      <c r="G376" s="3">
        <v>0</v>
      </c>
      <c r="H376" s="4">
        <v>1050500</v>
      </c>
      <c r="I376" s="11">
        <v>0</v>
      </c>
    </row>
    <row r="377" spans="1:9" x14ac:dyDescent="0.25">
      <c r="A377" s="9">
        <v>2023</v>
      </c>
      <c r="B377" s="3">
        <v>8</v>
      </c>
      <c r="C377" s="3">
        <v>24149901036</v>
      </c>
      <c r="D377" s="3">
        <v>5</v>
      </c>
      <c r="E377" s="3">
        <v>2019</v>
      </c>
      <c r="F377" s="3" t="s">
        <v>370</v>
      </c>
      <c r="G377" s="4">
        <v>165811.51999999999</v>
      </c>
      <c r="H377" s="4">
        <v>165811.51999999999</v>
      </c>
      <c r="I377" s="11">
        <v>0</v>
      </c>
    </row>
    <row r="378" spans="1:9" x14ac:dyDescent="0.25">
      <c r="A378" s="9">
        <v>2023</v>
      </c>
      <c r="B378" s="3">
        <v>8</v>
      </c>
      <c r="C378" s="3">
        <v>24190000000</v>
      </c>
      <c r="D378" s="3"/>
      <c r="E378" s="3"/>
      <c r="F378" s="3" t="s">
        <v>255</v>
      </c>
      <c r="G378" s="4">
        <v>5352781</v>
      </c>
      <c r="H378" s="4">
        <v>6352781</v>
      </c>
      <c r="I378" s="11">
        <v>0</v>
      </c>
    </row>
    <row r="379" spans="1:9" x14ac:dyDescent="0.25">
      <c r="A379" s="9">
        <v>2023</v>
      </c>
      <c r="B379" s="3">
        <v>8</v>
      </c>
      <c r="C379" s="3">
        <v>24199900000</v>
      </c>
      <c r="D379" s="3"/>
      <c r="E379" s="3"/>
      <c r="F379" s="3" t="s">
        <v>255</v>
      </c>
      <c r="G379" s="4">
        <v>5352781</v>
      </c>
      <c r="H379" s="4">
        <v>6352781</v>
      </c>
      <c r="I379" s="11">
        <v>0</v>
      </c>
    </row>
    <row r="380" spans="1:9" x14ac:dyDescent="0.25">
      <c r="A380" s="9">
        <v>2023</v>
      </c>
      <c r="B380" s="3">
        <v>8</v>
      </c>
      <c r="C380" s="3">
        <v>24199901006</v>
      </c>
      <c r="D380" s="3">
        <v>5</v>
      </c>
      <c r="E380" s="3">
        <v>2141</v>
      </c>
      <c r="F380" s="3" t="s">
        <v>371</v>
      </c>
      <c r="G380" s="4">
        <v>5352781</v>
      </c>
      <c r="H380" s="4">
        <v>6352781</v>
      </c>
      <c r="I380" s="11">
        <v>0</v>
      </c>
    </row>
    <row r="381" spans="1:9" x14ac:dyDescent="0.25">
      <c r="A381" s="9">
        <v>2023</v>
      </c>
      <c r="B381" s="3">
        <v>8</v>
      </c>
      <c r="C381" s="3">
        <v>24200000000</v>
      </c>
      <c r="D381" s="3"/>
      <c r="E381" s="3"/>
      <c r="F381" s="3" t="s">
        <v>262</v>
      </c>
      <c r="G381" s="4">
        <v>150131.31</v>
      </c>
      <c r="H381" s="4">
        <v>220131.31</v>
      </c>
      <c r="I381" s="10">
        <v>5522000</v>
      </c>
    </row>
    <row r="382" spans="1:9" x14ac:dyDescent="0.25">
      <c r="A382" s="9">
        <v>2023</v>
      </c>
      <c r="B382" s="3">
        <v>8</v>
      </c>
      <c r="C382" s="3">
        <v>24220000000</v>
      </c>
      <c r="D382" s="3"/>
      <c r="E382" s="3"/>
      <c r="F382" s="3" t="s">
        <v>372</v>
      </c>
      <c r="G382" s="4">
        <v>150131.31</v>
      </c>
      <c r="H382" s="4">
        <v>150131.31</v>
      </c>
      <c r="I382" s="10">
        <v>5522000</v>
      </c>
    </row>
    <row r="383" spans="1:9" x14ac:dyDescent="0.25">
      <c r="A383" s="9">
        <v>2023</v>
      </c>
      <c r="B383" s="3">
        <v>8</v>
      </c>
      <c r="C383" s="3">
        <v>24229900000</v>
      </c>
      <c r="D383" s="3"/>
      <c r="E383" s="3"/>
      <c r="F383" s="3" t="s">
        <v>280</v>
      </c>
      <c r="G383" s="4">
        <v>150131.31</v>
      </c>
      <c r="H383" s="4">
        <v>150131.31</v>
      </c>
      <c r="I383" s="10">
        <v>5522000</v>
      </c>
    </row>
    <row r="384" spans="1:9" x14ac:dyDescent="0.25">
      <c r="A384" s="9">
        <v>2023</v>
      </c>
      <c r="B384" s="3">
        <v>8</v>
      </c>
      <c r="C384" s="3">
        <v>24229901004</v>
      </c>
      <c r="D384" s="3">
        <v>2</v>
      </c>
      <c r="E384" s="3">
        <v>2118</v>
      </c>
      <c r="F384" s="3" t="s">
        <v>373</v>
      </c>
      <c r="G384" s="3">
        <v>0</v>
      </c>
      <c r="H384" s="3">
        <v>0</v>
      </c>
      <c r="I384" s="10">
        <v>5522000</v>
      </c>
    </row>
    <row r="385" spans="1:9" x14ac:dyDescent="0.25">
      <c r="A385" s="9">
        <v>2023</v>
      </c>
      <c r="B385" s="3">
        <v>8</v>
      </c>
      <c r="C385" s="3">
        <v>24229901017</v>
      </c>
      <c r="D385" s="3">
        <v>2</v>
      </c>
      <c r="E385" s="3">
        <v>2021</v>
      </c>
      <c r="F385" s="3" t="s">
        <v>374</v>
      </c>
      <c r="G385" s="4">
        <v>150131.31</v>
      </c>
      <c r="H385" s="4">
        <v>150131.31</v>
      </c>
      <c r="I385" s="11">
        <v>0</v>
      </c>
    </row>
    <row r="386" spans="1:9" x14ac:dyDescent="0.25">
      <c r="A386" s="9">
        <v>2023</v>
      </c>
      <c r="B386" s="3">
        <v>8</v>
      </c>
      <c r="C386" s="3">
        <v>24290000000</v>
      </c>
      <c r="D386" s="3"/>
      <c r="E386" s="3"/>
      <c r="F386" s="3" t="s">
        <v>375</v>
      </c>
      <c r="G386" s="3">
        <v>0</v>
      </c>
      <c r="H386" s="4">
        <v>70000</v>
      </c>
      <c r="I386" s="11">
        <v>0</v>
      </c>
    </row>
    <row r="387" spans="1:9" x14ac:dyDescent="0.25">
      <c r="A387" s="9">
        <v>2023</v>
      </c>
      <c r="B387" s="3">
        <v>8</v>
      </c>
      <c r="C387" s="3">
        <v>24299900000</v>
      </c>
      <c r="D387" s="3"/>
      <c r="E387" s="3"/>
      <c r="F387" s="3" t="s">
        <v>375</v>
      </c>
      <c r="G387" s="3">
        <v>0</v>
      </c>
      <c r="H387" s="4">
        <v>70000</v>
      </c>
      <c r="I387" s="11">
        <v>0</v>
      </c>
    </row>
    <row r="388" spans="1:9" x14ac:dyDescent="0.25">
      <c r="A388" s="9">
        <v>2023</v>
      </c>
      <c r="B388" s="3">
        <v>8</v>
      </c>
      <c r="C388" s="3">
        <v>24299901000</v>
      </c>
      <c r="D388" s="3">
        <v>2</v>
      </c>
      <c r="E388" s="3">
        <v>2314</v>
      </c>
      <c r="F388" s="3" t="s">
        <v>376</v>
      </c>
      <c r="G388" s="3">
        <v>0</v>
      </c>
      <c r="H388" s="4">
        <v>70000</v>
      </c>
      <c r="I388" s="11">
        <v>0</v>
      </c>
    </row>
    <row r="389" spans="1:9" x14ac:dyDescent="0.25">
      <c r="A389" s="9">
        <v>2023</v>
      </c>
      <c r="B389" s="3">
        <v>8</v>
      </c>
      <c r="C389" s="3">
        <v>24400000000</v>
      </c>
      <c r="D389" s="3"/>
      <c r="E389" s="3"/>
      <c r="F389" s="3" t="s">
        <v>289</v>
      </c>
      <c r="G389" s="4">
        <v>1340267.1599999999</v>
      </c>
      <c r="H389" s="4">
        <v>9744476.9399999995</v>
      </c>
      <c r="I389" s="10">
        <v>9532000</v>
      </c>
    </row>
    <row r="390" spans="1:9" x14ac:dyDescent="0.25">
      <c r="A390" s="9">
        <v>2023</v>
      </c>
      <c r="B390" s="3">
        <v>8</v>
      </c>
      <c r="C390" s="3">
        <v>24410000000</v>
      </c>
      <c r="D390" s="3"/>
      <c r="E390" s="3"/>
      <c r="F390" s="3" t="s">
        <v>289</v>
      </c>
      <c r="G390" s="4">
        <v>1340267.1599999999</v>
      </c>
      <c r="H390" s="4">
        <v>9744476.9399999995</v>
      </c>
      <c r="I390" s="10">
        <v>9532000</v>
      </c>
    </row>
    <row r="391" spans="1:9" x14ac:dyDescent="0.25">
      <c r="A391" s="9">
        <v>2023</v>
      </c>
      <c r="B391" s="3">
        <v>8</v>
      </c>
      <c r="C391" s="3">
        <v>24419900000</v>
      </c>
      <c r="D391" s="3"/>
      <c r="E391" s="3"/>
      <c r="F391" s="3" t="s">
        <v>377</v>
      </c>
      <c r="G391" s="4">
        <v>1340267.1599999999</v>
      </c>
      <c r="H391" s="4">
        <v>9744476.9399999995</v>
      </c>
      <c r="I391" s="10">
        <v>9532000</v>
      </c>
    </row>
    <row r="392" spans="1:9" x14ac:dyDescent="0.25">
      <c r="A392" s="9">
        <v>2023</v>
      </c>
      <c r="B392" s="3">
        <v>8</v>
      </c>
      <c r="C392" s="3">
        <v>24419901003</v>
      </c>
      <c r="D392" s="3">
        <v>6</v>
      </c>
      <c r="E392" s="3">
        <v>2612</v>
      </c>
      <c r="F392" s="3" t="s">
        <v>378</v>
      </c>
      <c r="G392" s="4">
        <v>4439.97</v>
      </c>
      <c r="H392" s="4">
        <v>26028.28</v>
      </c>
      <c r="I392" s="10">
        <v>6648000</v>
      </c>
    </row>
    <row r="393" spans="1:9" x14ac:dyDescent="0.25">
      <c r="A393" s="9">
        <v>2023</v>
      </c>
      <c r="B393" s="3">
        <v>8</v>
      </c>
      <c r="C393" s="3">
        <v>24419901006</v>
      </c>
      <c r="D393" s="3">
        <v>3</v>
      </c>
      <c r="E393" s="3">
        <v>2622</v>
      </c>
      <c r="F393" s="3" t="s">
        <v>379</v>
      </c>
      <c r="G393" s="4">
        <v>667734.98</v>
      </c>
      <c r="H393" s="4">
        <v>4478969.32</v>
      </c>
      <c r="I393" s="10">
        <v>2040000</v>
      </c>
    </row>
    <row r="394" spans="1:9" x14ac:dyDescent="0.25">
      <c r="A394" s="9">
        <v>2023</v>
      </c>
      <c r="B394" s="3">
        <v>8</v>
      </c>
      <c r="C394" s="3">
        <v>24419901007</v>
      </c>
      <c r="D394" s="3">
        <v>6</v>
      </c>
      <c r="E394" s="3">
        <v>2628</v>
      </c>
      <c r="F394" s="3" t="s">
        <v>380</v>
      </c>
      <c r="G394" s="4">
        <v>668092.21</v>
      </c>
      <c r="H394" s="4">
        <v>5239479.34</v>
      </c>
      <c r="I394" s="10">
        <v>844000</v>
      </c>
    </row>
    <row r="395" spans="1:9" x14ac:dyDescent="0.25">
      <c r="A395" s="9">
        <v>2023</v>
      </c>
      <c r="B395" s="3">
        <v>8</v>
      </c>
      <c r="C395" s="3">
        <v>70000000000</v>
      </c>
      <c r="D395" s="3"/>
      <c r="E395" s="3"/>
      <c r="F395" s="3" t="s">
        <v>381</v>
      </c>
      <c r="G395" s="4">
        <v>2055</v>
      </c>
      <c r="H395" s="4">
        <v>2099582.7400000002</v>
      </c>
      <c r="I395" s="11">
        <v>0</v>
      </c>
    </row>
    <row r="396" spans="1:9" x14ac:dyDescent="0.25">
      <c r="A396" s="9">
        <v>2023</v>
      </c>
      <c r="B396" s="3">
        <v>8</v>
      </c>
      <c r="C396" s="3">
        <v>79000000000</v>
      </c>
      <c r="D396" s="3"/>
      <c r="E396" s="3"/>
      <c r="F396" s="3" t="s">
        <v>382</v>
      </c>
      <c r="G396" s="4">
        <v>2055</v>
      </c>
      <c r="H396" s="4">
        <v>2099582.7400000002</v>
      </c>
      <c r="I396" s="11">
        <v>0</v>
      </c>
    </row>
    <row r="397" spans="1:9" x14ac:dyDescent="0.25">
      <c r="A397" s="9">
        <v>2023</v>
      </c>
      <c r="B397" s="3">
        <v>8</v>
      </c>
      <c r="C397" s="3">
        <v>79900000000</v>
      </c>
      <c r="D397" s="3"/>
      <c r="E397" s="3"/>
      <c r="F397" s="3" t="s">
        <v>383</v>
      </c>
      <c r="G397" s="4">
        <v>2055</v>
      </c>
      <c r="H397" s="4">
        <v>2099582.7400000002</v>
      </c>
      <c r="I397" s="11">
        <v>0</v>
      </c>
    </row>
    <row r="398" spans="1:9" x14ac:dyDescent="0.25">
      <c r="A398" s="9">
        <v>2023</v>
      </c>
      <c r="B398" s="3">
        <v>8</v>
      </c>
      <c r="C398" s="3">
        <v>79999920000</v>
      </c>
      <c r="D398" s="3"/>
      <c r="E398" s="3"/>
      <c r="F398" s="3" t="s">
        <v>384</v>
      </c>
      <c r="G398" s="4">
        <v>2055</v>
      </c>
      <c r="H398" s="4">
        <v>2099582.7400000002</v>
      </c>
      <c r="I398" s="11">
        <v>0</v>
      </c>
    </row>
    <row r="399" spans="1:9" x14ac:dyDescent="0.25">
      <c r="A399" s="9">
        <v>2023</v>
      </c>
      <c r="B399" s="3">
        <v>8</v>
      </c>
      <c r="C399" s="3">
        <v>79999921000</v>
      </c>
      <c r="D399" s="3">
        <v>3</v>
      </c>
      <c r="E399" s="3">
        <v>2316</v>
      </c>
      <c r="F399" s="3" t="s">
        <v>385</v>
      </c>
      <c r="G399" s="4">
        <v>2055</v>
      </c>
      <c r="H399" s="4">
        <v>2099582.7400000002</v>
      </c>
      <c r="I399" s="11">
        <v>0</v>
      </c>
    </row>
    <row r="400" spans="1:9" x14ac:dyDescent="0.25">
      <c r="A400" s="9">
        <v>2023</v>
      </c>
      <c r="B400" s="3">
        <v>8</v>
      </c>
      <c r="C400" s="3">
        <v>900000000000</v>
      </c>
      <c r="D400" s="3"/>
      <c r="E400" s="3"/>
      <c r="F400" s="3" t="s">
        <v>386</v>
      </c>
      <c r="G400" s="4">
        <v>-24575250.5</v>
      </c>
      <c r="H400" s="4">
        <v>-214861063.02000001</v>
      </c>
      <c r="I400" s="10">
        <v>-334627000</v>
      </c>
    </row>
    <row r="401" spans="1:9" x14ac:dyDescent="0.25">
      <c r="A401" s="9">
        <v>2023</v>
      </c>
      <c r="B401" s="3">
        <v>8</v>
      </c>
      <c r="C401" s="3">
        <v>910000000000</v>
      </c>
      <c r="D401" s="3"/>
      <c r="E401" s="3"/>
      <c r="F401" s="3" t="s">
        <v>387</v>
      </c>
      <c r="G401" s="4">
        <v>-24575250.5</v>
      </c>
      <c r="H401" s="4">
        <v>-214861063.02000001</v>
      </c>
      <c r="I401" s="10">
        <v>-334627000</v>
      </c>
    </row>
    <row r="402" spans="1:9" x14ac:dyDescent="0.25">
      <c r="A402" s="9">
        <v>2023</v>
      </c>
      <c r="B402" s="3">
        <v>8</v>
      </c>
      <c r="C402" s="3">
        <v>917000000000</v>
      </c>
      <c r="D402" s="3"/>
      <c r="E402" s="3"/>
      <c r="F402" s="3" t="s">
        <v>388</v>
      </c>
      <c r="G402" s="4">
        <v>-24575250.5</v>
      </c>
      <c r="H402" s="4">
        <v>-214861063.02000001</v>
      </c>
      <c r="I402" s="10">
        <v>-334627000</v>
      </c>
    </row>
    <row r="403" spans="1:9" x14ac:dyDescent="0.25">
      <c r="A403" s="9">
        <v>2023</v>
      </c>
      <c r="B403" s="3">
        <v>8</v>
      </c>
      <c r="C403" s="3">
        <v>917100000000</v>
      </c>
      <c r="D403" s="3"/>
      <c r="E403" s="3"/>
      <c r="F403" s="3" t="s">
        <v>389</v>
      </c>
      <c r="G403" s="4">
        <v>-1644342.07</v>
      </c>
      <c r="H403" s="4">
        <v>-15266518.33</v>
      </c>
      <c r="I403" s="10">
        <v>-22585000</v>
      </c>
    </row>
    <row r="404" spans="1:9" x14ac:dyDescent="0.25">
      <c r="A404" s="9">
        <v>2023</v>
      </c>
      <c r="B404" s="3">
        <v>8</v>
      </c>
      <c r="C404" s="3">
        <v>917115111001</v>
      </c>
      <c r="D404" s="3">
        <v>1</v>
      </c>
      <c r="E404" s="3">
        <v>2640</v>
      </c>
      <c r="F404" s="3" t="s">
        <v>390</v>
      </c>
      <c r="G404" s="4">
        <v>-1642883.95</v>
      </c>
      <c r="H404" s="4">
        <v>-15257538.640000001</v>
      </c>
      <c r="I404" s="10">
        <v>-22527000</v>
      </c>
    </row>
    <row r="405" spans="1:9" x14ac:dyDescent="0.25">
      <c r="A405" s="9">
        <v>2023</v>
      </c>
      <c r="B405" s="3">
        <v>8</v>
      </c>
      <c r="C405" s="3">
        <v>917115201001</v>
      </c>
      <c r="D405" s="3">
        <v>1</v>
      </c>
      <c r="E405" s="3">
        <v>2710</v>
      </c>
      <c r="F405" s="3" t="s">
        <v>391</v>
      </c>
      <c r="G405" s="4">
        <v>-1458.12</v>
      </c>
      <c r="H405" s="4">
        <v>-8979.69</v>
      </c>
      <c r="I405" s="10">
        <v>-58000</v>
      </c>
    </row>
    <row r="406" spans="1:9" x14ac:dyDescent="0.25">
      <c r="A406" s="9">
        <v>2023</v>
      </c>
      <c r="B406" s="3">
        <v>8</v>
      </c>
      <c r="C406" s="3">
        <v>917200000000</v>
      </c>
      <c r="D406" s="3"/>
      <c r="E406" s="3"/>
      <c r="F406" s="3" t="s">
        <v>392</v>
      </c>
      <c r="G406" s="4">
        <v>-22930908.43</v>
      </c>
      <c r="H406" s="4">
        <v>-199594544.69</v>
      </c>
      <c r="I406" s="10">
        <v>-312042000</v>
      </c>
    </row>
    <row r="407" spans="1:9" x14ac:dyDescent="0.25">
      <c r="A407" s="9">
        <v>2023</v>
      </c>
      <c r="B407" s="3">
        <v>8</v>
      </c>
      <c r="C407" s="3">
        <v>917215001001</v>
      </c>
      <c r="D407" s="3">
        <v>1</v>
      </c>
      <c r="E407" s="3">
        <v>2650</v>
      </c>
      <c r="F407" s="3" t="s">
        <v>393</v>
      </c>
      <c r="G407" s="4">
        <v>-21278917.079999998</v>
      </c>
      <c r="H407" s="4">
        <v>-159599915.16999999</v>
      </c>
      <c r="I407" s="10">
        <v>-272533000</v>
      </c>
    </row>
    <row r="408" spans="1:9" x14ac:dyDescent="0.25">
      <c r="A408" s="9">
        <v>2023</v>
      </c>
      <c r="B408" s="3">
        <v>8</v>
      </c>
      <c r="C408" s="3">
        <v>917215101001</v>
      </c>
      <c r="D408" s="3">
        <v>1</v>
      </c>
      <c r="E408" s="3">
        <v>2711</v>
      </c>
      <c r="F408" s="3" t="s">
        <v>394</v>
      </c>
      <c r="G408" s="4">
        <v>-1546243.54</v>
      </c>
      <c r="H408" s="4">
        <v>-39100691.420000002</v>
      </c>
      <c r="I408" s="10">
        <v>-37648000</v>
      </c>
    </row>
    <row r="409" spans="1:9" x14ac:dyDescent="0.25">
      <c r="A409" s="15">
        <v>2023</v>
      </c>
      <c r="B409" s="16">
        <v>8</v>
      </c>
      <c r="C409" s="16">
        <v>917215201001</v>
      </c>
      <c r="D409" s="16">
        <v>1</v>
      </c>
      <c r="E409" s="16">
        <v>2399</v>
      </c>
      <c r="F409" s="16" t="s">
        <v>395</v>
      </c>
      <c r="G409" s="17">
        <v>-105747.81</v>
      </c>
      <c r="H409" s="17">
        <v>-893938.1</v>
      </c>
      <c r="I409" s="18">
        <v>-1861000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2:E387"/>
  <sheetViews>
    <sheetView workbookViewId="0">
      <selection activeCell="B17" sqref="B17"/>
    </sheetView>
  </sheetViews>
  <sheetFormatPr defaultRowHeight="15" x14ac:dyDescent="0.25"/>
  <cols>
    <col min="1" max="1" width="159.7109375" bestFit="1" customWidth="1"/>
    <col min="2" max="2" width="20.42578125" bestFit="1" customWidth="1"/>
    <col min="3" max="3" width="24.28515625" bestFit="1" customWidth="1"/>
    <col min="4" max="4" width="24" bestFit="1" customWidth="1"/>
    <col min="5" max="5" width="26.7109375" bestFit="1" customWidth="1"/>
    <col min="6" max="399" width="12" bestFit="1" customWidth="1"/>
    <col min="400" max="400" width="6" bestFit="1" customWidth="1"/>
    <col min="401" max="401" width="8" bestFit="1" customWidth="1"/>
    <col min="402" max="402" width="9" bestFit="1" customWidth="1"/>
    <col min="403" max="403" width="10" bestFit="1" customWidth="1"/>
    <col min="404" max="405" width="12" bestFit="1" customWidth="1"/>
    <col min="406" max="406" width="10" bestFit="1" customWidth="1"/>
    <col min="407" max="409" width="12" bestFit="1" customWidth="1"/>
    <col min="410" max="410" width="7" bestFit="1" customWidth="1"/>
    <col min="411" max="411" width="10.7109375" bestFit="1" customWidth="1"/>
  </cols>
  <sheetData>
    <row r="2" spans="1:5" x14ac:dyDescent="0.25">
      <c r="A2" s="6" t="s">
        <v>3</v>
      </c>
      <c r="B2" t="s">
        <v>398</v>
      </c>
    </row>
    <row r="4" spans="1:5" x14ac:dyDescent="0.25">
      <c r="A4" s="6" t="s">
        <v>396</v>
      </c>
      <c r="B4" t="s">
        <v>399</v>
      </c>
      <c r="C4" t="s">
        <v>400</v>
      </c>
      <c r="D4" t="s">
        <v>401</v>
      </c>
      <c r="E4" t="s">
        <v>402</v>
      </c>
    </row>
    <row r="5" spans="1:5" x14ac:dyDescent="0.25">
      <c r="A5" s="7" t="s">
        <v>70</v>
      </c>
      <c r="B5" s="8">
        <v>13110111001</v>
      </c>
      <c r="C5" s="8">
        <v>31121.15</v>
      </c>
      <c r="D5" s="8">
        <v>274447.35999999999</v>
      </c>
      <c r="E5" s="8">
        <v>358000</v>
      </c>
    </row>
    <row r="6" spans="1:5" x14ac:dyDescent="0.25">
      <c r="A6" s="7" t="s">
        <v>69</v>
      </c>
      <c r="B6" s="8">
        <v>13110110000</v>
      </c>
      <c r="C6" s="8">
        <v>31121.15</v>
      </c>
      <c r="D6" s="8">
        <v>274447.35999999999</v>
      </c>
      <c r="E6" s="8">
        <v>358000</v>
      </c>
    </row>
    <row r="7" spans="1:5" x14ac:dyDescent="0.25">
      <c r="A7" s="7" t="s">
        <v>68</v>
      </c>
      <c r="B7" s="8">
        <v>13110100000</v>
      </c>
      <c r="C7" s="8">
        <v>216307.7</v>
      </c>
      <c r="D7" s="8">
        <v>1771881.22</v>
      </c>
      <c r="E7" s="8">
        <v>2888000</v>
      </c>
    </row>
    <row r="8" spans="1:5" x14ac:dyDescent="0.25">
      <c r="A8" s="7" t="s">
        <v>233</v>
      </c>
      <c r="B8" s="8">
        <v>17135051002</v>
      </c>
      <c r="C8" s="8">
        <v>1970517</v>
      </c>
      <c r="D8" s="8">
        <v>1970517</v>
      </c>
      <c r="E8" s="8">
        <v>0</v>
      </c>
    </row>
    <row r="9" spans="1:5" x14ac:dyDescent="0.25">
      <c r="A9" s="7" t="s">
        <v>355</v>
      </c>
      <c r="B9" s="8">
        <v>19999921023</v>
      </c>
      <c r="C9" s="8">
        <v>12460</v>
      </c>
      <c r="D9" s="8">
        <v>66220</v>
      </c>
      <c r="E9" s="8">
        <v>123000</v>
      </c>
    </row>
    <row r="10" spans="1:5" x14ac:dyDescent="0.25">
      <c r="A10" s="7" t="s">
        <v>380</v>
      </c>
      <c r="B10" s="8">
        <v>24419901007</v>
      </c>
      <c r="C10" s="8">
        <v>668092.21</v>
      </c>
      <c r="D10" s="8">
        <v>5239479.34</v>
      </c>
      <c r="E10" s="8">
        <v>844000</v>
      </c>
    </row>
    <row r="11" spans="1:5" x14ac:dyDescent="0.25">
      <c r="A11" s="7" t="s">
        <v>260</v>
      </c>
      <c r="B11" s="8">
        <v>17195801001</v>
      </c>
      <c r="C11" s="8">
        <v>317672.92</v>
      </c>
      <c r="D11" s="8">
        <v>2541383.36</v>
      </c>
      <c r="E11" s="8">
        <v>3885000</v>
      </c>
    </row>
    <row r="12" spans="1:5" x14ac:dyDescent="0.25">
      <c r="A12" s="7" t="s">
        <v>75</v>
      </c>
      <c r="B12" s="8">
        <v>13110201004</v>
      </c>
      <c r="C12" s="8">
        <v>120604.53</v>
      </c>
      <c r="D12" s="8">
        <v>247513.26</v>
      </c>
      <c r="E12" s="8">
        <v>134000</v>
      </c>
    </row>
    <row r="13" spans="1:5" x14ac:dyDescent="0.25">
      <c r="A13" s="7" t="s">
        <v>73</v>
      </c>
      <c r="B13" s="8">
        <v>13110200000</v>
      </c>
      <c r="C13" s="8">
        <v>124011.36</v>
      </c>
      <c r="D13" s="8">
        <v>259669.48</v>
      </c>
      <c r="E13" s="8">
        <v>134000</v>
      </c>
    </row>
    <row r="14" spans="1:5" x14ac:dyDescent="0.25">
      <c r="A14" s="7" t="s">
        <v>345</v>
      </c>
      <c r="B14" s="8">
        <v>19999921009</v>
      </c>
      <c r="C14" s="8">
        <v>1534144.33</v>
      </c>
      <c r="D14" s="8">
        <v>11057998.529999999</v>
      </c>
      <c r="E14" s="8">
        <v>13860000</v>
      </c>
    </row>
    <row r="15" spans="1:5" x14ac:dyDescent="0.25">
      <c r="A15" s="7" t="s">
        <v>58</v>
      </c>
      <c r="B15" s="8">
        <v>22610000000</v>
      </c>
      <c r="C15" s="8">
        <v>0</v>
      </c>
      <c r="D15" s="8">
        <v>0</v>
      </c>
      <c r="E15" s="8">
        <v>8000</v>
      </c>
    </row>
    <row r="16" spans="1:5" x14ac:dyDescent="0.25">
      <c r="A16" s="7" t="s">
        <v>59</v>
      </c>
      <c r="B16" s="8">
        <v>11315300000</v>
      </c>
      <c r="C16" s="8">
        <v>0</v>
      </c>
      <c r="D16" s="8">
        <v>0</v>
      </c>
      <c r="E16" s="8">
        <v>4000</v>
      </c>
    </row>
    <row r="17" spans="1:5" x14ac:dyDescent="0.25">
      <c r="A17" s="7" t="s">
        <v>61</v>
      </c>
      <c r="B17" s="8">
        <v>11315302001</v>
      </c>
      <c r="C17" s="8">
        <v>0</v>
      </c>
      <c r="D17" s="8">
        <v>0</v>
      </c>
      <c r="E17" s="8">
        <v>1000</v>
      </c>
    </row>
    <row r="18" spans="1:5" x14ac:dyDescent="0.25">
      <c r="A18" s="7" t="s">
        <v>60</v>
      </c>
      <c r="B18" s="8">
        <v>11315301001</v>
      </c>
      <c r="C18" s="8">
        <v>0</v>
      </c>
      <c r="D18" s="8">
        <v>0</v>
      </c>
      <c r="E18" s="8">
        <v>3000</v>
      </c>
    </row>
    <row r="19" spans="1:5" x14ac:dyDescent="0.25">
      <c r="A19" s="7" t="s">
        <v>63</v>
      </c>
      <c r="B19" s="8">
        <v>37225000000</v>
      </c>
      <c r="C19" s="8">
        <v>6993728.8500000006</v>
      </c>
      <c r="D19" s="8">
        <v>61350147.810000002</v>
      </c>
      <c r="E19" s="8">
        <v>90252000</v>
      </c>
    </row>
    <row r="20" spans="1:5" x14ac:dyDescent="0.25">
      <c r="A20" s="7" t="s">
        <v>65</v>
      </c>
      <c r="B20" s="8">
        <v>12415001002</v>
      </c>
      <c r="C20" s="8">
        <v>2105748.11</v>
      </c>
      <c r="D20" s="8">
        <v>17779047.030000001</v>
      </c>
      <c r="E20" s="8">
        <v>26767000</v>
      </c>
    </row>
    <row r="21" spans="1:5" x14ac:dyDescent="0.25">
      <c r="A21" s="7" t="s">
        <v>64</v>
      </c>
      <c r="B21" s="8">
        <v>12415001001</v>
      </c>
      <c r="C21" s="8">
        <v>225494.84</v>
      </c>
      <c r="D21" s="8">
        <v>2671002.2400000002</v>
      </c>
      <c r="E21" s="8">
        <v>3317000</v>
      </c>
    </row>
    <row r="22" spans="1:5" x14ac:dyDescent="0.25">
      <c r="A22" s="7" t="s">
        <v>62</v>
      </c>
      <c r="B22" s="8">
        <v>12000000000</v>
      </c>
      <c r="C22" s="8">
        <v>2331242.9500000002</v>
      </c>
      <c r="D22" s="8">
        <v>20450049.27</v>
      </c>
      <c r="E22" s="8">
        <v>30084000</v>
      </c>
    </row>
    <row r="23" spans="1:5" x14ac:dyDescent="0.25">
      <c r="A23" s="7" t="s">
        <v>282</v>
      </c>
      <c r="B23" s="8">
        <v>17249901003</v>
      </c>
      <c r="C23" s="8">
        <v>0</v>
      </c>
      <c r="D23" s="8">
        <v>1048365.21</v>
      </c>
      <c r="E23" s="8">
        <v>3237000</v>
      </c>
    </row>
    <row r="24" spans="1:5" x14ac:dyDescent="0.25">
      <c r="A24" s="7" t="s">
        <v>291</v>
      </c>
      <c r="B24" s="8">
        <v>17415001001</v>
      </c>
      <c r="C24" s="8">
        <v>0</v>
      </c>
      <c r="D24" s="8">
        <v>0</v>
      </c>
      <c r="E24" s="8">
        <v>44000</v>
      </c>
    </row>
    <row r="25" spans="1:5" x14ac:dyDescent="0.25">
      <c r="A25" s="7" t="s">
        <v>378</v>
      </c>
      <c r="B25" s="8">
        <v>24419901003</v>
      </c>
      <c r="C25" s="8">
        <v>4439.97</v>
      </c>
      <c r="D25" s="8">
        <v>26028.28</v>
      </c>
      <c r="E25" s="8">
        <v>6648000</v>
      </c>
    </row>
    <row r="26" spans="1:5" x14ac:dyDescent="0.25">
      <c r="A26" s="7" t="s">
        <v>373</v>
      </c>
      <c r="B26" s="8">
        <v>24229901004</v>
      </c>
      <c r="C26" s="8">
        <v>0</v>
      </c>
      <c r="D26" s="8">
        <v>0</v>
      </c>
      <c r="E26" s="8">
        <v>5522000</v>
      </c>
    </row>
    <row r="27" spans="1:5" x14ac:dyDescent="0.25">
      <c r="A27" s="7" t="s">
        <v>368</v>
      </c>
      <c r="B27" s="8">
        <v>24149901023</v>
      </c>
      <c r="C27" s="8">
        <v>0</v>
      </c>
      <c r="D27" s="8">
        <v>955000</v>
      </c>
      <c r="E27" s="8">
        <v>0</v>
      </c>
    </row>
    <row r="28" spans="1:5" x14ac:dyDescent="0.25">
      <c r="A28" s="7" t="s">
        <v>370</v>
      </c>
      <c r="B28" s="8">
        <v>24149901036</v>
      </c>
      <c r="C28" s="8">
        <v>165811.51999999999</v>
      </c>
      <c r="D28" s="8">
        <v>165811.51999999999</v>
      </c>
      <c r="E28" s="8">
        <v>0</v>
      </c>
    </row>
    <row r="29" spans="1:5" x14ac:dyDescent="0.25">
      <c r="A29" s="7" t="s">
        <v>369</v>
      </c>
      <c r="B29" s="8">
        <v>24149901035</v>
      </c>
      <c r="C29" s="8">
        <v>0</v>
      </c>
      <c r="D29" s="8">
        <v>1050500</v>
      </c>
      <c r="E29" s="8">
        <v>0</v>
      </c>
    </row>
    <row r="30" spans="1:5" x14ac:dyDescent="0.25">
      <c r="A30" s="7" t="s">
        <v>277</v>
      </c>
      <c r="B30" s="8">
        <v>17245101002</v>
      </c>
      <c r="C30" s="8">
        <v>2824925.72</v>
      </c>
      <c r="D30" s="8">
        <v>17011804.960000001</v>
      </c>
      <c r="E30" s="8">
        <v>28160000</v>
      </c>
    </row>
    <row r="31" spans="1:5" x14ac:dyDescent="0.25">
      <c r="A31" s="7" t="s">
        <v>278</v>
      </c>
      <c r="B31" s="8">
        <v>17245101004</v>
      </c>
      <c r="C31" s="8">
        <v>3543801.06</v>
      </c>
      <c r="D31" s="8">
        <v>29156838</v>
      </c>
      <c r="E31" s="8">
        <v>0</v>
      </c>
    </row>
    <row r="32" spans="1:5" x14ac:dyDescent="0.25">
      <c r="A32" s="7" t="s">
        <v>279</v>
      </c>
      <c r="B32" s="8">
        <v>17245101005</v>
      </c>
      <c r="C32" s="8">
        <v>0</v>
      </c>
      <c r="D32" s="8">
        <v>3048556.48</v>
      </c>
      <c r="E32" s="8">
        <v>0</v>
      </c>
    </row>
    <row r="33" spans="1:5" x14ac:dyDescent="0.25">
      <c r="A33" s="7" t="s">
        <v>207</v>
      </c>
      <c r="B33" s="8">
        <v>17125001001</v>
      </c>
      <c r="C33" s="8">
        <v>0</v>
      </c>
      <c r="D33" s="8">
        <v>129827.66</v>
      </c>
      <c r="E33" s="8">
        <v>232000</v>
      </c>
    </row>
    <row r="34" spans="1:5" x14ac:dyDescent="0.25">
      <c r="A34" s="7" t="s">
        <v>209</v>
      </c>
      <c r="B34" s="8">
        <v>17125101001</v>
      </c>
      <c r="C34" s="8">
        <v>14308.74</v>
      </c>
      <c r="D34" s="8">
        <v>1210602.47</v>
      </c>
      <c r="E34" s="8">
        <v>2032000</v>
      </c>
    </row>
    <row r="35" spans="1:5" x14ac:dyDescent="0.25">
      <c r="A35" s="7" t="s">
        <v>206</v>
      </c>
      <c r="B35" s="8">
        <v>17125000000</v>
      </c>
      <c r="C35" s="8">
        <v>0</v>
      </c>
      <c r="D35" s="8">
        <v>129827.66</v>
      </c>
      <c r="E35" s="8">
        <v>232000</v>
      </c>
    </row>
    <row r="36" spans="1:5" x14ac:dyDescent="0.25">
      <c r="A36" s="7" t="s">
        <v>208</v>
      </c>
      <c r="B36" s="8">
        <v>17125100000</v>
      </c>
      <c r="C36" s="8">
        <v>14308.74</v>
      </c>
      <c r="D36" s="8">
        <v>1210602.47</v>
      </c>
      <c r="E36" s="8">
        <v>2032000</v>
      </c>
    </row>
    <row r="37" spans="1:5" x14ac:dyDescent="0.25">
      <c r="A37" s="7" t="s">
        <v>210</v>
      </c>
      <c r="B37" s="8">
        <v>17125200000</v>
      </c>
      <c r="C37" s="8">
        <v>1066723.0900000001</v>
      </c>
      <c r="D37" s="8">
        <v>8064066.0099999998</v>
      </c>
      <c r="E37" s="8">
        <v>14219000</v>
      </c>
    </row>
    <row r="38" spans="1:5" x14ac:dyDescent="0.25">
      <c r="A38" s="7" t="s">
        <v>211</v>
      </c>
      <c r="B38" s="8">
        <v>17125210000</v>
      </c>
      <c r="C38" s="8">
        <v>850401.91</v>
      </c>
      <c r="D38" s="8">
        <v>6507962.5599999996</v>
      </c>
      <c r="E38" s="8">
        <v>11143000</v>
      </c>
    </row>
    <row r="39" spans="1:5" x14ac:dyDescent="0.25">
      <c r="A39" s="7" t="s">
        <v>270</v>
      </c>
      <c r="B39" s="8">
        <v>34430601001</v>
      </c>
      <c r="C39" s="8">
        <v>0</v>
      </c>
      <c r="D39" s="8">
        <v>3882.12</v>
      </c>
      <c r="E39" s="8">
        <v>826000</v>
      </c>
    </row>
    <row r="40" spans="1:5" x14ac:dyDescent="0.25">
      <c r="A40" s="7" t="s">
        <v>200</v>
      </c>
      <c r="B40" s="8">
        <v>17115121001</v>
      </c>
      <c r="C40" s="8">
        <v>0</v>
      </c>
      <c r="D40" s="8">
        <v>0</v>
      </c>
      <c r="E40" s="8">
        <v>4465000</v>
      </c>
    </row>
    <row r="41" spans="1:5" x14ac:dyDescent="0.25">
      <c r="A41" s="7" t="s">
        <v>202</v>
      </c>
      <c r="B41" s="8">
        <v>17115121003</v>
      </c>
      <c r="C41" s="8">
        <v>0</v>
      </c>
      <c r="D41" s="8">
        <v>0</v>
      </c>
      <c r="E41" s="8">
        <v>986000</v>
      </c>
    </row>
    <row r="42" spans="1:5" x14ac:dyDescent="0.25">
      <c r="A42" s="7" t="s">
        <v>199</v>
      </c>
      <c r="B42" s="8">
        <v>17115120000</v>
      </c>
      <c r="C42" s="8">
        <v>0</v>
      </c>
      <c r="D42" s="8">
        <v>4943067.91</v>
      </c>
      <c r="E42" s="8">
        <v>9396000</v>
      </c>
    </row>
    <row r="43" spans="1:5" x14ac:dyDescent="0.25">
      <c r="A43" s="7" t="s">
        <v>201</v>
      </c>
      <c r="B43" s="8">
        <v>17115121002</v>
      </c>
      <c r="C43" s="8">
        <v>0</v>
      </c>
      <c r="D43" s="8">
        <v>4943067.91</v>
      </c>
      <c r="E43" s="8">
        <v>3945000</v>
      </c>
    </row>
    <row r="44" spans="1:5" x14ac:dyDescent="0.25">
      <c r="A44" s="7" t="s">
        <v>197</v>
      </c>
      <c r="B44" s="8">
        <v>17115110000</v>
      </c>
      <c r="C44" s="8">
        <v>8214419.96</v>
      </c>
      <c r="D44" s="8">
        <v>76287694.629999995</v>
      </c>
      <c r="E44" s="8">
        <v>112637000</v>
      </c>
    </row>
    <row r="45" spans="1:5" x14ac:dyDescent="0.25">
      <c r="A45" s="7" t="s">
        <v>198</v>
      </c>
      <c r="B45" s="8">
        <v>17115111001</v>
      </c>
      <c r="C45" s="8">
        <v>8214419.96</v>
      </c>
      <c r="D45" s="8">
        <v>76287694.629999995</v>
      </c>
      <c r="E45" s="8">
        <v>112637000</v>
      </c>
    </row>
    <row r="46" spans="1:5" x14ac:dyDescent="0.25">
      <c r="A46" s="7" t="s">
        <v>196</v>
      </c>
      <c r="B46" s="8">
        <v>17115100000</v>
      </c>
      <c r="C46" s="8">
        <v>8214419.96</v>
      </c>
      <c r="D46" s="8">
        <v>81230762.540000007</v>
      </c>
      <c r="E46" s="8">
        <v>122033000</v>
      </c>
    </row>
    <row r="47" spans="1:5" x14ac:dyDescent="0.25">
      <c r="A47" s="7" t="s">
        <v>215</v>
      </c>
      <c r="B47" s="8">
        <v>17125240000</v>
      </c>
      <c r="C47" s="8">
        <v>174972.15</v>
      </c>
      <c r="D47" s="8">
        <v>1329043.1499999999</v>
      </c>
      <c r="E47" s="8">
        <v>2632000</v>
      </c>
    </row>
    <row r="48" spans="1:5" x14ac:dyDescent="0.25">
      <c r="A48" s="7" t="s">
        <v>216</v>
      </c>
      <c r="B48" s="8">
        <v>17125241001</v>
      </c>
      <c r="C48" s="8">
        <v>174972.15</v>
      </c>
      <c r="D48" s="8">
        <v>1329043.1499999999</v>
      </c>
      <c r="E48" s="8">
        <v>2632000</v>
      </c>
    </row>
    <row r="49" spans="1:5" x14ac:dyDescent="0.25">
      <c r="A49" s="7" t="s">
        <v>264</v>
      </c>
      <c r="B49" s="8">
        <v>34430001001</v>
      </c>
      <c r="C49" s="8">
        <v>212789170.94</v>
      </c>
      <c r="D49" s="8">
        <v>1595999153.5799999</v>
      </c>
      <c r="E49" s="8">
        <v>2725328000</v>
      </c>
    </row>
    <row r="50" spans="1:5" x14ac:dyDescent="0.25">
      <c r="A50" s="7" t="s">
        <v>203</v>
      </c>
      <c r="B50" s="8">
        <v>17115200000</v>
      </c>
      <c r="C50" s="8">
        <v>7290.69</v>
      </c>
      <c r="D50" s="8">
        <v>44898.85</v>
      </c>
      <c r="E50" s="8">
        <v>288000</v>
      </c>
    </row>
    <row r="51" spans="1:5" x14ac:dyDescent="0.25">
      <c r="A51" s="7" t="s">
        <v>204</v>
      </c>
      <c r="B51" s="8">
        <v>17115201001</v>
      </c>
      <c r="C51" s="8">
        <v>7290.69</v>
      </c>
      <c r="D51" s="8">
        <v>44898.85</v>
      </c>
      <c r="E51" s="8">
        <v>288000</v>
      </c>
    </row>
    <row r="52" spans="1:5" x14ac:dyDescent="0.25">
      <c r="A52" s="7" t="s">
        <v>269</v>
      </c>
      <c r="B52" s="8">
        <v>17215201001</v>
      </c>
      <c r="C52" s="8">
        <v>528739.04</v>
      </c>
      <c r="D52" s="8">
        <v>4469690.3600000003</v>
      </c>
      <c r="E52" s="8">
        <v>9307000</v>
      </c>
    </row>
    <row r="53" spans="1:5" x14ac:dyDescent="0.25">
      <c r="A53" s="7" t="s">
        <v>268</v>
      </c>
      <c r="B53" s="8">
        <v>17215200000</v>
      </c>
      <c r="C53" s="8">
        <v>528739.04</v>
      </c>
      <c r="D53" s="8">
        <v>4469690.3600000003</v>
      </c>
      <c r="E53" s="8">
        <v>9307000</v>
      </c>
    </row>
    <row r="54" spans="1:5" x14ac:dyDescent="0.25">
      <c r="A54" s="7" t="s">
        <v>266</v>
      </c>
      <c r="B54" s="8">
        <v>34430201001</v>
      </c>
      <c r="C54" s="8">
        <v>15462433.02</v>
      </c>
      <c r="D54" s="8">
        <v>391006899.22000003</v>
      </c>
      <c r="E54" s="8">
        <v>376482000</v>
      </c>
    </row>
    <row r="55" spans="1:5" x14ac:dyDescent="0.25">
      <c r="A55" s="7" t="s">
        <v>213</v>
      </c>
      <c r="B55" s="8">
        <v>17125220000</v>
      </c>
      <c r="C55" s="8">
        <v>41349.03</v>
      </c>
      <c r="D55" s="8">
        <v>227060.3</v>
      </c>
      <c r="E55" s="8">
        <v>444000</v>
      </c>
    </row>
    <row r="56" spans="1:5" x14ac:dyDescent="0.25">
      <c r="A56" s="7" t="s">
        <v>212</v>
      </c>
      <c r="B56" s="8">
        <v>17125211001</v>
      </c>
      <c r="C56" s="8">
        <v>850401.91</v>
      </c>
      <c r="D56" s="8">
        <v>6507962.5599999996</v>
      </c>
      <c r="E56" s="8">
        <v>11143000</v>
      </c>
    </row>
    <row r="57" spans="1:5" x14ac:dyDescent="0.25">
      <c r="A57" s="7" t="s">
        <v>214</v>
      </c>
      <c r="B57" s="8">
        <v>17125221001</v>
      </c>
      <c r="C57" s="8">
        <v>41349.03</v>
      </c>
      <c r="D57" s="8">
        <v>227060.3</v>
      </c>
      <c r="E57" s="8">
        <v>444000</v>
      </c>
    </row>
    <row r="58" spans="1:5" x14ac:dyDescent="0.25">
      <c r="A58" s="7" t="s">
        <v>225</v>
      </c>
      <c r="B58" s="8">
        <v>17135021003</v>
      </c>
      <c r="C58" s="8">
        <v>0</v>
      </c>
      <c r="D58" s="8">
        <v>4779786.66</v>
      </c>
      <c r="E58" s="8">
        <v>0</v>
      </c>
    </row>
    <row r="59" spans="1:5" x14ac:dyDescent="0.25">
      <c r="A59" s="7" t="s">
        <v>387</v>
      </c>
      <c r="B59" s="8">
        <v>910000000000</v>
      </c>
      <c r="C59" s="8">
        <v>-24575250.5</v>
      </c>
      <c r="D59" s="8">
        <v>-214861063.02000001</v>
      </c>
      <c r="E59" s="8">
        <v>-334627000</v>
      </c>
    </row>
    <row r="60" spans="1:5" x14ac:dyDescent="0.25">
      <c r="A60" s="7" t="s">
        <v>388</v>
      </c>
      <c r="B60" s="8">
        <v>917000000000</v>
      </c>
      <c r="C60" s="8">
        <v>-24575250.5</v>
      </c>
      <c r="D60" s="8">
        <v>-214861063.02000001</v>
      </c>
      <c r="E60" s="8">
        <v>-334627000</v>
      </c>
    </row>
    <row r="61" spans="1:5" x14ac:dyDescent="0.25">
      <c r="A61" s="7" t="s">
        <v>386</v>
      </c>
      <c r="B61" s="8">
        <v>900000000000</v>
      </c>
      <c r="C61" s="8">
        <v>-24575250.5</v>
      </c>
      <c r="D61" s="8">
        <v>-214861063.02000001</v>
      </c>
      <c r="E61" s="8">
        <v>-334627000</v>
      </c>
    </row>
    <row r="62" spans="1:5" x14ac:dyDescent="0.25">
      <c r="A62" s="7" t="s">
        <v>390</v>
      </c>
      <c r="B62" s="8">
        <v>917115111001</v>
      </c>
      <c r="C62" s="8">
        <v>-1642883.95</v>
      </c>
      <c r="D62" s="8">
        <v>-15257538.640000001</v>
      </c>
      <c r="E62" s="8">
        <v>-22527000</v>
      </c>
    </row>
    <row r="63" spans="1:5" x14ac:dyDescent="0.25">
      <c r="A63" s="7" t="s">
        <v>393</v>
      </c>
      <c r="B63" s="8">
        <v>917215001001</v>
      </c>
      <c r="C63" s="8">
        <v>-21278917.079999998</v>
      </c>
      <c r="D63" s="8">
        <v>-159599915.16999999</v>
      </c>
      <c r="E63" s="8">
        <v>-272533000</v>
      </c>
    </row>
    <row r="64" spans="1:5" x14ac:dyDescent="0.25">
      <c r="A64" s="7" t="s">
        <v>395</v>
      </c>
      <c r="B64" s="8">
        <v>917215201001</v>
      </c>
      <c r="C64" s="8">
        <v>-105747.81</v>
      </c>
      <c r="D64" s="8">
        <v>-893938.1</v>
      </c>
      <c r="E64" s="8">
        <v>-1861000</v>
      </c>
    </row>
    <row r="65" spans="1:5" x14ac:dyDescent="0.25">
      <c r="A65" s="7" t="s">
        <v>394</v>
      </c>
      <c r="B65" s="8">
        <v>917215101001</v>
      </c>
      <c r="C65" s="8">
        <v>-1546243.54</v>
      </c>
      <c r="D65" s="8">
        <v>-39100691.420000002</v>
      </c>
      <c r="E65" s="8">
        <v>-37648000</v>
      </c>
    </row>
    <row r="66" spans="1:5" x14ac:dyDescent="0.25">
      <c r="A66" s="7" t="s">
        <v>391</v>
      </c>
      <c r="B66" s="8">
        <v>917115201001</v>
      </c>
      <c r="C66" s="8">
        <v>-1458.12</v>
      </c>
      <c r="D66" s="8">
        <v>-8979.69</v>
      </c>
      <c r="E66" s="8">
        <v>-58000</v>
      </c>
    </row>
    <row r="67" spans="1:5" x14ac:dyDescent="0.25">
      <c r="A67" s="7" t="s">
        <v>389</v>
      </c>
      <c r="B67" s="8">
        <v>917100000000</v>
      </c>
      <c r="C67" s="8">
        <v>-1644342.07</v>
      </c>
      <c r="D67" s="8">
        <v>-15266518.33</v>
      </c>
      <c r="E67" s="8">
        <v>-22585000</v>
      </c>
    </row>
    <row r="68" spans="1:5" x14ac:dyDescent="0.25">
      <c r="A68" s="7" t="s">
        <v>392</v>
      </c>
      <c r="B68" s="8">
        <v>917200000000</v>
      </c>
      <c r="C68" s="8">
        <v>-22930908.43</v>
      </c>
      <c r="D68" s="8">
        <v>-199594544.69</v>
      </c>
      <c r="E68" s="8">
        <v>-312042000</v>
      </c>
    </row>
    <row r="69" spans="1:5" x14ac:dyDescent="0.25">
      <c r="A69" s="7" t="s">
        <v>334</v>
      </c>
      <c r="B69" s="8">
        <v>19900000000</v>
      </c>
      <c r="C69" s="8">
        <v>7305049.5099999998</v>
      </c>
      <c r="D69" s="8">
        <v>44845966.359999999</v>
      </c>
      <c r="E69" s="8">
        <v>56518000</v>
      </c>
    </row>
    <row r="70" spans="1:5" x14ac:dyDescent="0.25">
      <c r="A70" s="7" t="s">
        <v>383</v>
      </c>
      <c r="B70" s="8">
        <v>79900000000</v>
      </c>
      <c r="C70" s="8">
        <v>2055</v>
      </c>
      <c r="D70" s="8">
        <v>2099582.7400000002</v>
      </c>
      <c r="E70" s="8">
        <v>0</v>
      </c>
    </row>
    <row r="71" spans="1:5" x14ac:dyDescent="0.25">
      <c r="A71" s="7" t="s">
        <v>324</v>
      </c>
      <c r="B71" s="8">
        <v>19111404001</v>
      </c>
      <c r="C71" s="8">
        <v>0</v>
      </c>
      <c r="D71" s="8">
        <v>0</v>
      </c>
      <c r="E71" s="8">
        <v>2000</v>
      </c>
    </row>
    <row r="72" spans="1:5" x14ac:dyDescent="0.25">
      <c r="A72" s="7" t="s">
        <v>325</v>
      </c>
      <c r="B72" s="8">
        <v>19111404002</v>
      </c>
      <c r="C72" s="8">
        <v>0</v>
      </c>
      <c r="D72" s="8">
        <v>0</v>
      </c>
      <c r="E72" s="8">
        <v>1000</v>
      </c>
    </row>
    <row r="73" spans="1:5" x14ac:dyDescent="0.25">
      <c r="A73" s="7" t="s">
        <v>341</v>
      </c>
      <c r="B73" s="8">
        <v>19999921005</v>
      </c>
      <c r="C73" s="8">
        <v>0</v>
      </c>
      <c r="D73" s="8">
        <v>0</v>
      </c>
      <c r="E73" s="8">
        <v>4000</v>
      </c>
    </row>
    <row r="74" spans="1:5" x14ac:dyDescent="0.25">
      <c r="A74" s="7" t="s">
        <v>340</v>
      </c>
      <c r="B74" s="8">
        <v>19999921004</v>
      </c>
      <c r="C74" s="8">
        <v>74530.73</v>
      </c>
      <c r="D74" s="8">
        <v>2490505.17</v>
      </c>
      <c r="E74" s="8">
        <v>1626000</v>
      </c>
    </row>
    <row r="75" spans="1:5" x14ac:dyDescent="0.25">
      <c r="A75" s="7" t="s">
        <v>318</v>
      </c>
      <c r="B75" s="8">
        <v>19110104001</v>
      </c>
      <c r="C75" s="8">
        <v>2107.81</v>
      </c>
      <c r="D75" s="8">
        <v>112324.24</v>
      </c>
      <c r="E75" s="8">
        <v>0</v>
      </c>
    </row>
    <row r="76" spans="1:5" x14ac:dyDescent="0.25">
      <c r="A76" s="7" t="s">
        <v>316</v>
      </c>
      <c r="B76" s="8">
        <v>19110103004</v>
      </c>
      <c r="C76" s="8">
        <v>2393.39</v>
      </c>
      <c r="D76" s="8">
        <v>103110.25</v>
      </c>
      <c r="E76" s="8">
        <v>0</v>
      </c>
    </row>
    <row r="77" spans="1:5" x14ac:dyDescent="0.25">
      <c r="A77" s="7" t="s">
        <v>315</v>
      </c>
      <c r="B77" s="8">
        <v>19110103003</v>
      </c>
      <c r="C77" s="8">
        <v>12.25</v>
      </c>
      <c r="D77" s="8">
        <v>327.22000000000003</v>
      </c>
      <c r="E77" s="8">
        <v>2000</v>
      </c>
    </row>
    <row r="78" spans="1:5" x14ac:dyDescent="0.25">
      <c r="A78" s="7" t="s">
        <v>357</v>
      </c>
      <c r="B78" s="8">
        <v>19999923001</v>
      </c>
      <c r="C78" s="8">
        <v>540753.02</v>
      </c>
      <c r="D78" s="8">
        <v>4838515.68</v>
      </c>
      <c r="E78" s="8">
        <v>6805000</v>
      </c>
    </row>
    <row r="79" spans="1:5" x14ac:dyDescent="0.25">
      <c r="A79" s="7" t="s">
        <v>191</v>
      </c>
      <c r="B79" s="8">
        <v>26440100000</v>
      </c>
      <c r="C79" s="8">
        <v>0</v>
      </c>
      <c r="D79" s="8">
        <v>68904.039999999994</v>
      </c>
      <c r="E79" s="8">
        <v>198000</v>
      </c>
    </row>
    <row r="80" spans="1:5" x14ac:dyDescent="0.25">
      <c r="A80" s="7" t="s">
        <v>192</v>
      </c>
      <c r="B80" s="8">
        <v>13220101001</v>
      </c>
      <c r="C80" s="8">
        <v>0</v>
      </c>
      <c r="D80" s="8">
        <v>34452.019999999997</v>
      </c>
      <c r="E80" s="8">
        <v>99000</v>
      </c>
    </row>
    <row r="81" spans="1:5" x14ac:dyDescent="0.25">
      <c r="A81" s="7" t="s">
        <v>353</v>
      </c>
      <c r="B81" s="8">
        <v>19999921020</v>
      </c>
      <c r="C81" s="8">
        <v>1798.08</v>
      </c>
      <c r="D81" s="8">
        <v>45077.77</v>
      </c>
      <c r="E81" s="8">
        <v>26000</v>
      </c>
    </row>
    <row r="82" spans="1:5" x14ac:dyDescent="0.25">
      <c r="A82" s="7" t="s">
        <v>288</v>
      </c>
      <c r="B82" s="8">
        <v>17299901002</v>
      </c>
      <c r="C82" s="8">
        <v>0</v>
      </c>
      <c r="D82" s="8">
        <v>200000</v>
      </c>
      <c r="E82" s="8">
        <v>0</v>
      </c>
    </row>
    <row r="83" spans="1:5" x14ac:dyDescent="0.25">
      <c r="A83" s="7" t="s">
        <v>371</v>
      </c>
      <c r="B83" s="8">
        <v>24199901006</v>
      </c>
      <c r="C83" s="8">
        <v>5352781</v>
      </c>
      <c r="D83" s="8">
        <v>6352781</v>
      </c>
      <c r="E83" s="8">
        <v>0</v>
      </c>
    </row>
    <row r="84" spans="1:5" x14ac:dyDescent="0.25">
      <c r="A84" s="7" t="s">
        <v>374</v>
      </c>
      <c r="B84" s="8">
        <v>24229901017</v>
      </c>
      <c r="C84" s="8">
        <v>150131.31</v>
      </c>
      <c r="D84" s="8">
        <v>150131.31</v>
      </c>
      <c r="E84" s="8">
        <v>0</v>
      </c>
    </row>
    <row r="85" spans="1:5" x14ac:dyDescent="0.25">
      <c r="A85" s="7" t="s">
        <v>275</v>
      </c>
      <c r="B85" s="8">
        <v>17245001003</v>
      </c>
      <c r="C85" s="8">
        <v>650000</v>
      </c>
      <c r="D85" s="8">
        <v>650000</v>
      </c>
      <c r="E85" s="8">
        <v>0</v>
      </c>
    </row>
    <row r="86" spans="1:5" x14ac:dyDescent="0.25">
      <c r="A86" s="7" t="s">
        <v>376</v>
      </c>
      <c r="B86" s="8">
        <v>24299901000</v>
      </c>
      <c r="C86" s="8">
        <v>0</v>
      </c>
      <c r="D86" s="8">
        <v>70000</v>
      </c>
      <c r="E86" s="8">
        <v>0</v>
      </c>
    </row>
    <row r="87" spans="1:5" x14ac:dyDescent="0.25">
      <c r="A87" s="7" t="s">
        <v>67</v>
      </c>
      <c r="B87" s="8">
        <v>26210000000</v>
      </c>
      <c r="C87" s="8">
        <v>680638.12</v>
      </c>
      <c r="D87" s="8">
        <v>4063101.4</v>
      </c>
      <c r="E87" s="8">
        <v>6044000</v>
      </c>
    </row>
    <row r="88" spans="1:5" x14ac:dyDescent="0.25">
      <c r="A88" s="7" t="s">
        <v>258</v>
      </c>
      <c r="B88" s="8">
        <v>17179901007</v>
      </c>
      <c r="C88" s="8">
        <v>0</v>
      </c>
      <c r="D88" s="8">
        <v>0</v>
      </c>
      <c r="E88" s="8">
        <v>499000</v>
      </c>
    </row>
    <row r="89" spans="1:5" x14ac:dyDescent="0.25">
      <c r="A89" s="7" t="s">
        <v>71</v>
      </c>
      <c r="B89" s="8">
        <v>13110120000</v>
      </c>
      <c r="C89" s="8">
        <v>185186.55</v>
      </c>
      <c r="D89" s="8">
        <v>1497433.86</v>
      </c>
      <c r="E89" s="8">
        <v>2530000</v>
      </c>
    </row>
    <row r="90" spans="1:5" x14ac:dyDescent="0.25">
      <c r="A90" s="7" t="s">
        <v>72</v>
      </c>
      <c r="B90" s="8">
        <v>13110121001</v>
      </c>
      <c r="C90" s="8">
        <v>185186.55</v>
      </c>
      <c r="D90" s="8">
        <v>1497433.86</v>
      </c>
      <c r="E90" s="8">
        <v>2530000</v>
      </c>
    </row>
    <row r="91" spans="1:5" x14ac:dyDescent="0.25">
      <c r="A91" s="7" t="s">
        <v>301</v>
      </c>
      <c r="B91" s="8">
        <v>17515001008</v>
      </c>
      <c r="C91" s="8">
        <v>200071.94</v>
      </c>
      <c r="D91" s="8">
        <v>1842039.02</v>
      </c>
      <c r="E91" s="8">
        <v>2527000</v>
      </c>
    </row>
    <row r="92" spans="1:5" x14ac:dyDescent="0.25">
      <c r="A92" s="7" t="s">
        <v>295</v>
      </c>
      <c r="B92" s="8">
        <v>17515001001</v>
      </c>
      <c r="C92" s="8">
        <v>2842402.92</v>
      </c>
      <c r="D92" s="8">
        <v>26195392.670000002</v>
      </c>
      <c r="E92" s="8">
        <v>39696000</v>
      </c>
    </row>
    <row r="93" spans="1:5" x14ac:dyDescent="0.25">
      <c r="A93" s="7" t="s">
        <v>297</v>
      </c>
      <c r="B93" s="8">
        <v>17515001004</v>
      </c>
      <c r="C93" s="8">
        <v>29931470.600000001</v>
      </c>
      <c r="D93" s="8">
        <v>224695152.77000001</v>
      </c>
      <c r="E93" s="8">
        <v>404069000</v>
      </c>
    </row>
    <row r="94" spans="1:5" x14ac:dyDescent="0.25">
      <c r="A94" s="7" t="s">
        <v>298</v>
      </c>
      <c r="B94" s="8">
        <v>17515001005</v>
      </c>
      <c r="C94" s="8">
        <v>146443.88</v>
      </c>
      <c r="D94" s="8">
        <v>1243891.22</v>
      </c>
      <c r="E94" s="8">
        <v>2431000</v>
      </c>
    </row>
    <row r="95" spans="1:5" x14ac:dyDescent="0.25">
      <c r="A95" s="7" t="s">
        <v>299</v>
      </c>
      <c r="B95" s="8">
        <v>17515001006</v>
      </c>
      <c r="C95" s="8">
        <v>1894422.46</v>
      </c>
      <c r="D95" s="8">
        <v>42613324.140000001</v>
      </c>
      <c r="E95" s="8">
        <v>41126000</v>
      </c>
    </row>
    <row r="96" spans="1:5" x14ac:dyDescent="0.25">
      <c r="A96" s="7" t="s">
        <v>300</v>
      </c>
      <c r="B96" s="8">
        <v>17515001007</v>
      </c>
      <c r="C96" s="8">
        <v>799092.44</v>
      </c>
      <c r="D96" s="8">
        <v>4529354.18</v>
      </c>
      <c r="E96" s="8">
        <v>7220000</v>
      </c>
    </row>
    <row r="97" spans="1:5" x14ac:dyDescent="0.25">
      <c r="A97" s="7" t="s">
        <v>296</v>
      </c>
      <c r="B97" s="8">
        <v>17515001002</v>
      </c>
      <c r="C97" s="8">
        <v>10304.790000000001</v>
      </c>
      <c r="D97" s="8">
        <v>109003.22</v>
      </c>
      <c r="E97" s="8">
        <v>670000</v>
      </c>
    </row>
    <row r="98" spans="1:5" x14ac:dyDescent="0.25">
      <c r="A98" s="7" t="s">
        <v>302</v>
      </c>
      <c r="B98" s="8">
        <v>17515001009</v>
      </c>
      <c r="C98" s="8">
        <v>725308.57</v>
      </c>
      <c r="D98" s="8">
        <v>4805169.25</v>
      </c>
      <c r="E98" s="8">
        <v>0</v>
      </c>
    </row>
    <row r="99" spans="1:5" x14ac:dyDescent="0.25">
      <c r="A99" s="7" t="s">
        <v>338</v>
      </c>
      <c r="B99" s="8">
        <v>19999921002</v>
      </c>
      <c r="C99" s="8">
        <v>707271.36</v>
      </c>
      <c r="D99" s="8">
        <v>9288986.0199999996</v>
      </c>
      <c r="E99" s="8">
        <v>11745000</v>
      </c>
    </row>
    <row r="100" spans="1:5" x14ac:dyDescent="0.25">
      <c r="A100" s="7" t="s">
        <v>286</v>
      </c>
      <c r="B100" s="8">
        <v>17295101002</v>
      </c>
      <c r="C100" s="8">
        <v>0</v>
      </c>
      <c r="D100" s="8">
        <v>299811.77</v>
      </c>
      <c r="E100" s="8">
        <v>0</v>
      </c>
    </row>
    <row r="101" spans="1:5" x14ac:dyDescent="0.25">
      <c r="A101" s="7" t="s">
        <v>285</v>
      </c>
      <c r="B101" s="8">
        <v>17295101001</v>
      </c>
      <c r="C101" s="8">
        <v>141696.4</v>
      </c>
      <c r="D101" s="8">
        <v>1133571.1599999999</v>
      </c>
      <c r="E101" s="8">
        <v>1700000</v>
      </c>
    </row>
    <row r="102" spans="1:5" x14ac:dyDescent="0.25">
      <c r="A102" s="7" t="s">
        <v>281</v>
      </c>
      <c r="B102" s="8">
        <v>17249901002</v>
      </c>
      <c r="C102" s="8">
        <v>0</v>
      </c>
      <c r="D102" s="8">
        <v>0</v>
      </c>
      <c r="E102" s="8">
        <v>898000</v>
      </c>
    </row>
    <row r="103" spans="1:5" x14ac:dyDescent="0.25">
      <c r="A103" s="7" t="s">
        <v>344</v>
      </c>
      <c r="B103" s="8">
        <v>19999921008</v>
      </c>
      <c r="C103" s="8">
        <v>0</v>
      </c>
      <c r="D103" s="8">
        <v>0</v>
      </c>
      <c r="E103" s="8">
        <v>1000</v>
      </c>
    </row>
    <row r="104" spans="1:5" x14ac:dyDescent="0.25">
      <c r="A104" s="7" t="s">
        <v>337</v>
      </c>
      <c r="B104" s="8">
        <v>19999921001</v>
      </c>
      <c r="C104" s="8">
        <v>0</v>
      </c>
      <c r="D104" s="8">
        <v>0</v>
      </c>
      <c r="E104" s="8">
        <v>2000</v>
      </c>
    </row>
    <row r="105" spans="1:5" x14ac:dyDescent="0.25">
      <c r="A105" s="7" t="s">
        <v>350</v>
      </c>
      <c r="B105" s="8">
        <v>19999921014</v>
      </c>
      <c r="C105" s="8">
        <v>228619.85</v>
      </c>
      <c r="D105" s="8">
        <v>1875180.42</v>
      </c>
      <c r="E105" s="8">
        <v>901000</v>
      </c>
    </row>
    <row r="106" spans="1:5" x14ac:dyDescent="0.25">
      <c r="A106" s="7" t="s">
        <v>385</v>
      </c>
      <c r="B106" s="8">
        <v>79999921000</v>
      </c>
      <c r="C106" s="8">
        <v>2055</v>
      </c>
      <c r="D106" s="8">
        <v>2099582.7400000002</v>
      </c>
      <c r="E106" s="8">
        <v>0</v>
      </c>
    </row>
    <row r="107" spans="1:5" x14ac:dyDescent="0.25">
      <c r="A107" s="7" t="s">
        <v>354</v>
      </c>
      <c r="B107" s="8">
        <v>19999921021</v>
      </c>
      <c r="C107" s="8">
        <v>1292492.42</v>
      </c>
      <c r="D107" s="8">
        <v>4771832.97</v>
      </c>
      <c r="E107" s="8">
        <v>6314000</v>
      </c>
    </row>
    <row r="108" spans="1:5" x14ac:dyDescent="0.25">
      <c r="A108" s="7" t="s">
        <v>346</v>
      </c>
      <c r="B108" s="8">
        <v>19999921010</v>
      </c>
      <c r="C108" s="8">
        <v>34905.53</v>
      </c>
      <c r="D108" s="8">
        <v>489695.52</v>
      </c>
      <c r="E108" s="8">
        <v>254000</v>
      </c>
    </row>
    <row r="109" spans="1:5" x14ac:dyDescent="0.25">
      <c r="A109" s="7" t="s">
        <v>347</v>
      </c>
      <c r="B109" s="8">
        <v>19999921011</v>
      </c>
      <c r="C109" s="8">
        <v>0</v>
      </c>
      <c r="D109" s="8">
        <v>0</v>
      </c>
      <c r="E109" s="8">
        <v>1000</v>
      </c>
    </row>
    <row r="110" spans="1:5" x14ac:dyDescent="0.25">
      <c r="A110" s="7" t="s">
        <v>349</v>
      </c>
      <c r="B110" s="8">
        <v>19999921013</v>
      </c>
      <c r="C110" s="8">
        <v>0</v>
      </c>
      <c r="D110" s="8">
        <v>0</v>
      </c>
      <c r="E110" s="8">
        <v>720000</v>
      </c>
    </row>
    <row r="111" spans="1:5" x14ac:dyDescent="0.25">
      <c r="A111" s="7" t="s">
        <v>352</v>
      </c>
      <c r="B111" s="8">
        <v>19999921019</v>
      </c>
      <c r="C111" s="8">
        <v>0</v>
      </c>
      <c r="D111" s="8">
        <v>0</v>
      </c>
      <c r="E111" s="8">
        <v>6000</v>
      </c>
    </row>
    <row r="112" spans="1:5" x14ac:dyDescent="0.25">
      <c r="A112" s="7" t="s">
        <v>351</v>
      </c>
      <c r="B112" s="8">
        <v>19999921018</v>
      </c>
      <c r="C112" s="8">
        <v>104637.82</v>
      </c>
      <c r="D112" s="8">
        <v>916245.79</v>
      </c>
      <c r="E112" s="8">
        <v>1176000</v>
      </c>
    </row>
    <row r="113" spans="1:5" x14ac:dyDescent="0.25">
      <c r="A113" s="7" t="s">
        <v>339</v>
      </c>
      <c r="B113" s="8">
        <v>19999921003</v>
      </c>
      <c r="C113" s="8">
        <v>0</v>
      </c>
      <c r="D113" s="8">
        <v>0</v>
      </c>
      <c r="E113" s="8">
        <v>1000</v>
      </c>
    </row>
    <row r="114" spans="1:5" x14ac:dyDescent="0.25">
      <c r="A114" s="7" t="s">
        <v>348</v>
      </c>
      <c r="B114" s="8">
        <v>19999921012</v>
      </c>
      <c r="C114" s="8">
        <v>758369.01</v>
      </c>
      <c r="D114" s="8">
        <v>1405239.9</v>
      </c>
      <c r="E114" s="8">
        <v>1470000</v>
      </c>
    </row>
    <row r="115" spans="1:5" x14ac:dyDescent="0.25">
      <c r="A115" s="7" t="s">
        <v>356</v>
      </c>
      <c r="B115" s="8">
        <v>19999921032</v>
      </c>
      <c r="C115" s="8">
        <v>1200784.95</v>
      </c>
      <c r="D115" s="8">
        <v>1309190.3999999999</v>
      </c>
      <c r="E115" s="8">
        <v>2828000</v>
      </c>
    </row>
    <row r="116" spans="1:5" x14ac:dyDescent="0.25">
      <c r="A116" s="7" t="s">
        <v>253</v>
      </c>
      <c r="B116" s="8">
        <v>17165001008</v>
      </c>
      <c r="C116" s="8">
        <v>0</v>
      </c>
      <c r="D116" s="8">
        <v>220000</v>
      </c>
      <c r="E116" s="8">
        <v>0</v>
      </c>
    </row>
    <row r="117" spans="1:5" x14ac:dyDescent="0.25">
      <c r="A117" s="7" t="s">
        <v>364</v>
      </c>
      <c r="B117" s="8">
        <v>24135001003</v>
      </c>
      <c r="C117" s="8">
        <v>0</v>
      </c>
      <c r="D117" s="8">
        <v>153931</v>
      </c>
      <c r="E117" s="8">
        <v>0</v>
      </c>
    </row>
    <row r="118" spans="1:5" x14ac:dyDescent="0.25">
      <c r="A118" s="7" t="s">
        <v>343</v>
      </c>
      <c r="B118" s="8">
        <v>19999921007</v>
      </c>
      <c r="C118" s="8">
        <v>0</v>
      </c>
      <c r="D118" s="8">
        <v>0</v>
      </c>
      <c r="E118" s="8">
        <v>1000</v>
      </c>
    </row>
    <row r="119" spans="1:5" x14ac:dyDescent="0.25">
      <c r="A119" s="7" t="s">
        <v>13</v>
      </c>
      <c r="B119" s="8">
        <v>11125000000</v>
      </c>
      <c r="C119" s="8">
        <v>19065435.66</v>
      </c>
      <c r="D119" s="8">
        <v>296411053.32999998</v>
      </c>
      <c r="E119" s="8">
        <v>387388000</v>
      </c>
    </row>
    <row r="120" spans="1:5" x14ac:dyDescent="0.25">
      <c r="A120" s="7" t="s">
        <v>17</v>
      </c>
      <c r="B120" s="8">
        <v>11125003001</v>
      </c>
      <c r="C120" s="8">
        <v>2988908.37</v>
      </c>
      <c r="D120" s="8">
        <v>27175906.399999999</v>
      </c>
      <c r="E120" s="8">
        <v>47957000</v>
      </c>
    </row>
    <row r="121" spans="1:5" x14ac:dyDescent="0.25">
      <c r="A121" s="7" t="s">
        <v>18</v>
      </c>
      <c r="B121" s="8">
        <v>11125004001</v>
      </c>
      <c r="C121" s="8">
        <v>894870.4</v>
      </c>
      <c r="D121" s="8">
        <v>7396988.7599999998</v>
      </c>
      <c r="E121" s="8">
        <v>13066000</v>
      </c>
    </row>
    <row r="122" spans="1:5" x14ac:dyDescent="0.25">
      <c r="A122" s="7" t="s">
        <v>16</v>
      </c>
      <c r="B122" s="8">
        <v>11125002001</v>
      </c>
      <c r="C122" s="8">
        <v>139745.70000000001</v>
      </c>
      <c r="D122" s="8">
        <v>1658642.32</v>
      </c>
      <c r="E122" s="8">
        <v>1502000</v>
      </c>
    </row>
    <row r="123" spans="1:5" x14ac:dyDescent="0.25">
      <c r="A123" s="7" t="s">
        <v>14</v>
      </c>
      <c r="B123" s="8">
        <v>11125001001</v>
      </c>
      <c r="C123" s="8">
        <v>10943860.949999999</v>
      </c>
      <c r="D123" s="8">
        <v>193338512.18000001</v>
      </c>
      <c r="E123" s="8">
        <v>238207000</v>
      </c>
    </row>
    <row r="124" spans="1:5" x14ac:dyDescent="0.25">
      <c r="A124" s="7" t="s">
        <v>15</v>
      </c>
      <c r="B124" s="8">
        <v>11125001002</v>
      </c>
      <c r="C124" s="8">
        <v>4098050.24</v>
      </c>
      <c r="D124" s="8">
        <v>66841003.670000002</v>
      </c>
      <c r="E124" s="8">
        <v>86656000</v>
      </c>
    </row>
    <row r="125" spans="1:5" x14ac:dyDescent="0.25">
      <c r="A125" s="7" t="s">
        <v>23</v>
      </c>
      <c r="B125" s="8">
        <v>11130300000</v>
      </c>
      <c r="C125" s="8">
        <v>14702109.85</v>
      </c>
      <c r="D125" s="8">
        <v>111220744.45999999</v>
      </c>
      <c r="E125" s="8">
        <v>170382000</v>
      </c>
    </row>
    <row r="126" spans="1:5" x14ac:dyDescent="0.25">
      <c r="A126" s="7" t="s">
        <v>27</v>
      </c>
      <c r="B126" s="8">
        <v>11130340000</v>
      </c>
      <c r="C126" s="8">
        <v>1049884.3899999999</v>
      </c>
      <c r="D126" s="8">
        <v>1049884.3899999999</v>
      </c>
      <c r="E126" s="8">
        <v>0</v>
      </c>
    </row>
    <row r="127" spans="1:5" x14ac:dyDescent="0.25">
      <c r="A127" s="7" t="s">
        <v>28</v>
      </c>
      <c r="B127" s="8">
        <v>11130341001</v>
      </c>
      <c r="C127" s="8">
        <v>1049884.3899999999</v>
      </c>
      <c r="D127" s="8">
        <v>1049884.3899999999</v>
      </c>
      <c r="E127" s="8">
        <v>0</v>
      </c>
    </row>
    <row r="128" spans="1:5" x14ac:dyDescent="0.25">
      <c r="A128" s="7" t="s">
        <v>24</v>
      </c>
      <c r="B128" s="8">
        <v>11130310000</v>
      </c>
      <c r="C128" s="8">
        <v>13652225.460000001</v>
      </c>
      <c r="D128" s="8">
        <v>110170860.06999999</v>
      </c>
      <c r="E128" s="8">
        <v>170382000</v>
      </c>
    </row>
    <row r="129" spans="1:5" x14ac:dyDescent="0.25">
      <c r="A129" s="7" t="s">
        <v>26</v>
      </c>
      <c r="B129" s="8">
        <v>11130311002</v>
      </c>
      <c r="C129" s="8">
        <v>5652453.9299999997</v>
      </c>
      <c r="D129" s="8">
        <v>44375384.25</v>
      </c>
      <c r="E129" s="8">
        <v>0</v>
      </c>
    </row>
    <row r="130" spans="1:5" x14ac:dyDescent="0.25">
      <c r="A130" s="7" t="s">
        <v>25</v>
      </c>
      <c r="B130" s="8">
        <v>11130311001</v>
      </c>
      <c r="C130" s="8">
        <v>7999771.5300000003</v>
      </c>
      <c r="D130" s="8">
        <v>65795475.82</v>
      </c>
      <c r="E130" s="8">
        <v>170382000</v>
      </c>
    </row>
    <row r="131" spans="1:5" x14ac:dyDescent="0.25">
      <c r="A131" s="7" t="s">
        <v>37</v>
      </c>
      <c r="B131" s="8">
        <v>11145113001</v>
      </c>
      <c r="C131" s="8">
        <v>1184589.8799999999</v>
      </c>
      <c r="D131" s="8">
        <v>9092959.6500000004</v>
      </c>
      <c r="E131" s="8">
        <v>16503000</v>
      </c>
    </row>
    <row r="132" spans="1:5" x14ac:dyDescent="0.25">
      <c r="A132" s="7" t="s">
        <v>38</v>
      </c>
      <c r="B132" s="8">
        <v>11145114001</v>
      </c>
      <c r="C132" s="8">
        <v>471296.47</v>
      </c>
      <c r="D132" s="8">
        <v>2958775.07</v>
      </c>
      <c r="E132" s="8">
        <v>4834000</v>
      </c>
    </row>
    <row r="133" spans="1:5" x14ac:dyDescent="0.25">
      <c r="A133" s="7" t="s">
        <v>31</v>
      </c>
      <c r="B133" s="8">
        <v>11145110000</v>
      </c>
      <c r="C133" s="8">
        <v>48792405.119999997</v>
      </c>
      <c r="D133" s="8">
        <v>354200458.43000001</v>
      </c>
      <c r="E133" s="8">
        <v>476670000</v>
      </c>
    </row>
    <row r="134" spans="1:5" x14ac:dyDescent="0.25">
      <c r="A134" s="7" t="s">
        <v>33</v>
      </c>
      <c r="B134" s="8">
        <v>11145111002</v>
      </c>
      <c r="C134" s="8">
        <v>980977.23</v>
      </c>
      <c r="D134" s="8">
        <v>5622500.25</v>
      </c>
      <c r="E134" s="8">
        <v>10748000</v>
      </c>
    </row>
    <row r="135" spans="1:5" x14ac:dyDescent="0.25">
      <c r="A135" s="7" t="s">
        <v>36</v>
      </c>
      <c r="B135" s="8">
        <v>11145112001</v>
      </c>
      <c r="C135" s="8">
        <v>9361.23</v>
      </c>
      <c r="D135" s="8">
        <v>28140.34</v>
      </c>
      <c r="E135" s="8">
        <v>20000</v>
      </c>
    </row>
    <row r="136" spans="1:5" x14ac:dyDescent="0.25">
      <c r="A136" s="7" t="s">
        <v>32</v>
      </c>
      <c r="B136" s="8">
        <v>11145111001</v>
      </c>
      <c r="C136" s="8">
        <v>36594229.710000001</v>
      </c>
      <c r="D136" s="8">
        <v>266578209.56</v>
      </c>
      <c r="E136" s="8">
        <v>346791000</v>
      </c>
    </row>
    <row r="137" spans="1:5" x14ac:dyDescent="0.25">
      <c r="A137" s="7" t="s">
        <v>35</v>
      </c>
      <c r="B137" s="8">
        <v>11145111004</v>
      </c>
      <c r="C137" s="8">
        <v>279904.46999999997</v>
      </c>
      <c r="D137" s="8">
        <v>1707873.24</v>
      </c>
      <c r="E137" s="8">
        <v>2315000</v>
      </c>
    </row>
    <row r="138" spans="1:5" x14ac:dyDescent="0.25">
      <c r="A138" s="7" t="s">
        <v>34</v>
      </c>
      <c r="B138" s="8">
        <v>11145111003</v>
      </c>
      <c r="C138" s="8">
        <v>9272046.1300000008</v>
      </c>
      <c r="D138" s="8">
        <v>68212000.319999993</v>
      </c>
      <c r="E138" s="8">
        <v>95459000</v>
      </c>
    </row>
    <row r="139" spans="1:5" x14ac:dyDescent="0.25">
      <c r="A139" s="7" t="s">
        <v>21</v>
      </c>
      <c r="B139" s="8">
        <v>11125302001</v>
      </c>
      <c r="C139" s="8">
        <v>13628.21</v>
      </c>
      <c r="D139" s="8">
        <v>58816.63</v>
      </c>
      <c r="E139" s="8">
        <v>181000</v>
      </c>
    </row>
    <row r="140" spans="1:5" x14ac:dyDescent="0.25">
      <c r="A140" s="7" t="s">
        <v>20</v>
      </c>
      <c r="B140" s="8">
        <v>11125301001</v>
      </c>
      <c r="C140" s="8">
        <v>7163426.3600000003</v>
      </c>
      <c r="D140" s="8">
        <v>54225135.409999996</v>
      </c>
      <c r="E140" s="8">
        <v>91900000</v>
      </c>
    </row>
    <row r="141" spans="1:5" x14ac:dyDescent="0.25">
      <c r="A141" s="7" t="s">
        <v>11</v>
      </c>
      <c r="B141" s="8">
        <v>11100000000</v>
      </c>
      <c r="C141" s="8">
        <v>89737005.200000003</v>
      </c>
      <c r="D141" s="8">
        <v>816116208.25999999</v>
      </c>
      <c r="E141" s="8">
        <v>1126521000</v>
      </c>
    </row>
    <row r="142" spans="1:5" x14ac:dyDescent="0.25">
      <c r="A142" s="7" t="s">
        <v>29</v>
      </c>
      <c r="B142" s="8">
        <v>11140000000</v>
      </c>
      <c r="C142" s="8">
        <v>48792405.119999997</v>
      </c>
      <c r="D142" s="8">
        <v>354200458.43000001</v>
      </c>
      <c r="E142" s="8">
        <v>476670000</v>
      </c>
    </row>
    <row r="143" spans="1:5" x14ac:dyDescent="0.25">
      <c r="A143" s="7" t="s">
        <v>22</v>
      </c>
      <c r="B143" s="8">
        <v>11130000000</v>
      </c>
      <c r="C143" s="8">
        <v>14702109.85</v>
      </c>
      <c r="D143" s="8">
        <v>111220744.45999999</v>
      </c>
      <c r="E143" s="8">
        <v>170382000</v>
      </c>
    </row>
    <row r="144" spans="1:5" x14ac:dyDescent="0.25">
      <c r="A144" s="7" t="s">
        <v>12</v>
      </c>
      <c r="B144" s="8">
        <v>11120000000</v>
      </c>
      <c r="C144" s="8">
        <v>26242490.23</v>
      </c>
      <c r="D144" s="8">
        <v>350695005.37</v>
      </c>
      <c r="E144" s="8">
        <v>479469000</v>
      </c>
    </row>
    <row r="145" spans="1:5" x14ac:dyDescent="0.25">
      <c r="A145" s="7" t="s">
        <v>30</v>
      </c>
      <c r="B145" s="8">
        <v>11145100000</v>
      </c>
      <c r="C145" s="8">
        <v>48792405.119999997</v>
      </c>
      <c r="D145" s="8">
        <v>354200458.43000001</v>
      </c>
      <c r="E145" s="8">
        <v>476670000</v>
      </c>
    </row>
    <row r="146" spans="1:5" x14ac:dyDescent="0.25">
      <c r="A146" s="7" t="s">
        <v>19</v>
      </c>
      <c r="B146" s="8">
        <v>11125300000</v>
      </c>
      <c r="C146" s="8">
        <v>7177054.5700000003</v>
      </c>
      <c r="D146" s="8">
        <v>54283952.039999999</v>
      </c>
      <c r="E146" s="8">
        <v>92081000</v>
      </c>
    </row>
    <row r="147" spans="1:5" x14ac:dyDescent="0.25">
      <c r="A147" s="7" t="s">
        <v>10</v>
      </c>
      <c r="B147" s="8">
        <v>11000000000</v>
      </c>
      <c r="C147" s="8">
        <v>92117774.760000005</v>
      </c>
      <c r="D147" s="8">
        <v>849204675.22000003</v>
      </c>
      <c r="E147" s="8">
        <v>1166694000</v>
      </c>
    </row>
    <row r="148" spans="1:5" x14ac:dyDescent="0.25">
      <c r="A148" s="7" t="s">
        <v>327</v>
      </c>
      <c r="B148" s="8">
        <v>38429901001</v>
      </c>
      <c r="C148" s="8">
        <v>45331.26</v>
      </c>
      <c r="D148" s="8">
        <v>923464.88</v>
      </c>
      <c r="E148" s="8">
        <v>136000</v>
      </c>
    </row>
    <row r="149" spans="1:5" x14ac:dyDescent="0.25">
      <c r="A149" s="7" t="s">
        <v>326</v>
      </c>
      <c r="B149" s="8">
        <v>19200000000</v>
      </c>
      <c r="C149" s="8">
        <v>114312.37</v>
      </c>
      <c r="D149" s="8">
        <v>8059418.0099999998</v>
      </c>
      <c r="E149" s="8">
        <v>68000</v>
      </c>
    </row>
    <row r="150" spans="1:5" x14ac:dyDescent="0.25">
      <c r="A150" s="7" t="s">
        <v>123</v>
      </c>
      <c r="B150" s="8">
        <v>13210101073</v>
      </c>
      <c r="C150" s="8">
        <v>0</v>
      </c>
      <c r="D150" s="8">
        <v>231010.59</v>
      </c>
      <c r="E150" s="8">
        <v>158000</v>
      </c>
    </row>
    <row r="151" spans="1:5" x14ac:dyDescent="0.25">
      <c r="A151" s="7" t="s">
        <v>142</v>
      </c>
      <c r="B151" s="8">
        <v>13210101110</v>
      </c>
      <c r="C151" s="8">
        <v>0</v>
      </c>
      <c r="D151" s="8">
        <v>4026.42</v>
      </c>
      <c r="E151" s="8">
        <v>0</v>
      </c>
    </row>
    <row r="152" spans="1:5" x14ac:dyDescent="0.25">
      <c r="A152" s="7" t="s">
        <v>82</v>
      </c>
      <c r="B152" s="8">
        <v>13210101005</v>
      </c>
      <c r="C152" s="8">
        <v>0</v>
      </c>
      <c r="D152" s="8">
        <v>0</v>
      </c>
      <c r="E152" s="8">
        <v>1000</v>
      </c>
    </row>
    <row r="153" spans="1:5" x14ac:dyDescent="0.25">
      <c r="A153" s="7" t="s">
        <v>181</v>
      </c>
      <c r="B153" s="8">
        <v>13210101168</v>
      </c>
      <c r="C153" s="8">
        <v>0</v>
      </c>
      <c r="D153" s="8">
        <v>4818.03</v>
      </c>
      <c r="E153" s="8">
        <v>0</v>
      </c>
    </row>
    <row r="154" spans="1:5" x14ac:dyDescent="0.25">
      <c r="A154" s="7" t="s">
        <v>134</v>
      </c>
      <c r="B154" s="8">
        <v>13210101096</v>
      </c>
      <c r="C154" s="8">
        <v>0</v>
      </c>
      <c r="D154" s="8">
        <v>1728.32</v>
      </c>
      <c r="E154" s="8">
        <v>2000</v>
      </c>
    </row>
    <row r="155" spans="1:5" x14ac:dyDescent="0.25">
      <c r="A155" s="7" t="s">
        <v>110</v>
      </c>
      <c r="B155" s="8">
        <v>13210101055</v>
      </c>
      <c r="C155" s="8">
        <v>0</v>
      </c>
      <c r="D155" s="8">
        <v>108352.72</v>
      </c>
      <c r="E155" s="8">
        <v>0</v>
      </c>
    </row>
    <row r="156" spans="1:5" x14ac:dyDescent="0.25">
      <c r="A156" s="7" t="s">
        <v>137</v>
      </c>
      <c r="B156" s="8">
        <v>13210101101</v>
      </c>
      <c r="C156" s="8">
        <v>0</v>
      </c>
      <c r="D156" s="8">
        <v>4620.7299999999996</v>
      </c>
      <c r="E156" s="8">
        <v>0</v>
      </c>
    </row>
    <row r="157" spans="1:5" x14ac:dyDescent="0.25">
      <c r="A157" s="7" t="s">
        <v>151</v>
      </c>
      <c r="B157" s="8">
        <v>13210101133</v>
      </c>
      <c r="C157" s="8">
        <v>0</v>
      </c>
      <c r="D157" s="8">
        <v>681178.2</v>
      </c>
      <c r="E157" s="8">
        <v>0</v>
      </c>
    </row>
    <row r="158" spans="1:5" x14ac:dyDescent="0.25">
      <c r="A158" s="7" t="s">
        <v>180</v>
      </c>
      <c r="B158" s="8">
        <v>13210101167</v>
      </c>
      <c r="C158" s="8">
        <v>0</v>
      </c>
      <c r="D158" s="8">
        <v>107.86</v>
      </c>
      <c r="E158" s="8">
        <v>0</v>
      </c>
    </row>
    <row r="159" spans="1:5" x14ac:dyDescent="0.25">
      <c r="A159" s="7" t="s">
        <v>182</v>
      </c>
      <c r="B159" s="8">
        <v>13210101169</v>
      </c>
      <c r="C159" s="8">
        <v>0</v>
      </c>
      <c r="D159" s="8">
        <v>48331.86</v>
      </c>
      <c r="E159" s="8">
        <v>0</v>
      </c>
    </row>
    <row r="160" spans="1:5" x14ac:dyDescent="0.25">
      <c r="A160" s="7" t="s">
        <v>135</v>
      </c>
      <c r="B160" s="8">
        <v>13210101098</v>
      </c>
      <c r="C160" s="8">
        <v>0</v>
      </c>
      <c r="D160" s="8">
        <v>96297.95</v>
      </c>
      <c r="E160" s="8">
        <v>194000</v>
      </c>
    </row>
    <row r="161" spans="1:5" x14ac:dyDescent="0.25">
      <c r="A161" s="7" t="s">
        <v>166</v>
      </c>
      <c r="B161" s="8">
        <v>13210101151</v>
      </c>
      <c r="C161" s="8">
        <v>0</v>
      </c>
      <c r="D161" s="8">
        <v>11705.39</v>
      </c>
      <c r="E161" s="8">
        <v>0</v>
      </c>
    </row>
    <row r="162" spans="1:5" x14ac:dyDescent="0.25">
      <c r="A162" s="7" t="s">
        <v>88</v>
      </c>
      <c r="B162" s="8">
        <v>13210101012</v>
      </c>
      <c r="C162" s="8">
        <v>0</v>
      </c>
      <c r="D162" s="8">
        <v>9254.17</v>
      </c>
      <c r="E162" s="8">
        <v>10000</v>
      </c>
    </row>
    <row r="163" spans="1:5" x14ac:dyDescent="0.25">
      <c r="A163" s="7" t="s">
        <v>90</v>
      </c>
      <c r="B163" s="8">
        <v>13210101014</v>
      </c>
      <c r="C163" s="8">
        <v>0</v>
      </c>
      <c r="D163" s="8">
        <v>721448.35</v>
      </c>
      <c r="E163" s="8">
        <v>710000</v>
      </c>
    </row>
    <row r="164" spans="1:5" x14ac:dyDescent="0.25">
      <c r="A164" s="7" t="s">
        <v>103</v>
      </c>
      <c r="B164" s="8">
        <v>13210101045</v>
      </c>
      <c r="C164" s="8">
        <v>0</v>
      </c>
      <c r="D164" s="8">
        <v>12318.32</v>
      </c>
      <c r="E164" s="8">
        <v>0</v>
      </c>
    </row>
    <row r="165" spans="1:5" x14ac:dyDescent="0.25">
      <c r="A165" s="7" t="s">
        <v>126</v>
      </c>
      <c r="B165" s="8">
        <v>13210101082</v>
      </c>
      <c r="C165" s="8">
        <v>0</v>
      </c>
      <c r="D165" s="8">
        <v>33292.06</v>
      </c>
      <c r="E165" s="8">
        <v>0</v>
      </c>
    </row>
    <row r="166" spans="1:5" x14ac:dyDescent="0.25">
      <c r="A166" s="7" t="s">
        <v>176</v>
      </c>
      <c r="B166" s="8">
        <v>13210101163</v>
      </c>
      <c r="C166" s="8">
        <v>0</v>
      </c>
      <c r="D166" s="8">
        <v>2971.23</v>
      </c>
      <c r="E166" s="8">
        <v>0</v>
      </c>
    </row>
    <row r="167" spans="1:5" x14ac:dyDescent="0.25">
      <c r="A167" s="7" t="s">
        <v>128</v>
      </c>
      <c r="B167" s="8">
        <v>13210101085</v>
      </c>
      <c r="C167" s="8">
        <v>0</v>
      </c>
      <c r="D167" s="8">
        <v>2453.36</v>
      </c>
      <c r="E167" s="8">
        <v>22000</v>
      </c>
    </row>
    <row r="168" spans="1:5" x14ac:dyDescent="0.25">
      <c r="A168" s="7" t="s">
        <v>132</v>
      </c>
      <c r="B168" s="8">
        <v>13210101093</v>
      </c>
      <c r="C168" s="8">
        <v>0</v>
      </c>
      <c r="D168" s="8">
        <v>51.81</v>
      </c>
      <c r="E168" s="8">
        <v>0</v>
      </c>
    </row>
    <row r="169" spans="1:5" x14ac:dyDescent="0.25">
      <c r="A169" s="7" t="s">
        <v>174</v>
      </c>
      <c r="B169" s="8">
        <v>13210101161</v>
      </c>
      <c r="C169" s="8">
        <v>0</v>
      </c>
      <c r="D169" s="8">
        <v>1121.24</v>
      </c>
      <c r="E169" s="8">
        <v>0</v>
      </c>
    </row>
    <row r="170" spans="1:5" x14ac:dyDescent="0.25">
      <c r="A170" s="7" t="s">
        <v>150</v>
      </c>
      <c r="B170" s="8">
        <v>13210101132</v>
      </c>
      <c r="C170" s="8">
        <v>0</v>
      </c>
      <c r="D170" s="8">
        <v>3281.55</v>
      </c>
      <c r="E170" s="8">
        <v>0</v>
      </c>
    </row>
    <row r="171" spans="1:5" x14ac:dyDescent="0.25">
      <c r="A171" s="7" t="s">
        <v>157</v>
      </c>
      <c r="B171" s="8">
        <v>13210101141</v>
      </c>
      <c r="C171" s="8">
        <v>0</v>
      </c>
      <c r="D171" s="8">
        <v>238.12</v>
      </c>
      <c r="E171" s="8">
        <v>0</v>
      </c>
    </row>
    <row r="172" spans="1:5" x14ac:dyDescent="0.25">
      <c r="A172" s="7" t="s">
        <v>99</v>
      </c>
      <c r="B172" s="8">
        <v>13210101036</v>
      </c>
      <c r="C172" s="8">
        <v>0</v>
      </c>
      <c r="D172" s="8">
        <v>48.13</v>
      </c>
      <c r="E172" s="8">
        <v>0</v>
      </c>
    </row>
    <row r="173" spans="1:5" x14ac:dyDescent="0.25">
      <c r="A173" s="7" t="s">
        <v>163</v>
      </c>
      <c r="B173" s="8">
        <v>13210101148</v>
      </c>
      <c r="C173" s="8">
        <v>0</v>
      </c>
      <c r="D173" s="8">
        <v>15936.33</v>
      </c>
      <c r="E173" s="8">
        <v>0</v>
      </c>
    </row>
    <row r="174" spans="1:5" x14ac:dyDescent="0.25">
      <c r="A174" s="7" t="s">
        <v>159</v>
      </c>
      <c r="B174" s="8">
        <v>13210101144</v>
      </c>
      <c r="C174" s="8">
        <v>0</v>
      </c>
      <c r="D174" s="8">
        <v>605.78</v>
      </c>
      <c r="E174" s="8">
        <v>0</v>
      </c>
    </row>
    <row r="175" spans="1:5" x14ac:dyDescent="0.25">
      <c r="A175" s="7" t="s">
        <v>155</v>
      </c>
      <c r="B175" s="8">
        <v>13210101138</v>
      </c>
      <c r="C175" s="8">
        <v>0</v>
      </c>
      <c r="D175" s="8">
        <v>326.87</v>
      </c>
      <c r="E175" s="8">
        <v>0</v>
      </c>
    </row>
    <row r="176" spans="1:5" x14ac:dyDescent="0.25">
      <c r="A176" s="7" t="s">
        <v>184</v>
      </c>
      <c r="B176" s="8">
        <v>13210101171</v>
      </c>
      <c r="C176" s="8">
        <v>0</v>
      </c>
      <c r="D176" s="8">
        <v>63642.48</v>
      </c>
      <c r="E176" s="8">
        <v>0</v>
      </c>
    </row>
    <row r="177" spans="1:5" x14ac:dyDescent="0.25">
      <c r="A177" s="7" t="s">
        <v>190</v>
      </c>
      <c r="B177" s="8">
        <v>13210101179</v>
      </c>
      <c r="C177" s="8">
        <v>66.239999999999995</v>
      </c>
      <c r="D177" s="8">
        <v>66.239999999999995</v>
      </c>
      <c r="E177" s="8">
        <v>0</v>
      </c>
    </row>
    <row r="178" spans="1:5" x14ac:dyDescent="0.25">
      <c r="A178" s="7" t="s">
        <v>185</v>
      </c>
      <c r="B178" s="8">
        <v>13210101172</v>
      </c>
      <c r="C178" s="8">
        <v>0</v>
      </c>
      <c r="D178" s="8">
        <v>38708.300000000003</v>
      </c>
      <c r="E178" s="8">
        <v>0</v>
      </c>
    </row>
    <row r="179" spans="1:5" x14ac:dyDescent="0.25">
      <c r="A179" s="7" t="s">
        <v>173</v>
      </c>
      <c r="B179" s="8">
        <v>13210101160</v>
      </c>
      <c r="C179" s="8">
        <v>0</v>
      </c>
      <c r="D179" s="8">
        <v>5167.51</v>
      </c>
      <c r="E179" s="8">
        <v>0</v>
      </c>
    </row>
    <row r="180" spans="1:5" x14ac:dyDescent="0.25">
      <c r="A180" s="7" t="s">
        <v>154</v>
      </c>
      <c r="B180" s="8">
        <v>13210101137</v>
      </c>
      <c r="C180" s="8">
        <v>0</v>
      </c>
      <c r="D180" s="8">
        <v>78.47</v>
      </c>
      <c r="E180" s="8">
        <v>0</v>
      </c>
    </row>
    <row r="181" spans="1:5" x14ac:dyDescent="0.25">
      <c r="A181" s="7" t="s">
        <v>170</v>
      </c>
      <c r="B181" s="8">
        <v>13210101157</v>
      </c>
      <c r="C181" s="8">
        <v>0</v>
      </c>
      <c r="D181" s="8">
        <v>164693.16</v>
      </c>
      <c r="E181" s="8">
        <v>240000</v>
      </c>
    </row>
    <row r="182" spans="1:5" x14ac:dyDescent="0.25">
      <c r="A182" s="7" t="s">
        <v>177</v>
      </c>
      <c r="B182" s="8">
        <v>13210101164</v>
      </c>
      <c r="C182" s="8">
        <v>0</v>
      </c>
      <c r="D182" s="8">
        <v>95089.03</v>
      </c>
      <c r="E182" s="8">
        <v>0</v>
      </c>
    </row>
    <row r="183" spans="1:5" x14ac:dyDescent="0.25">
      <c r="A183" s="7" t="s">
        <v>178</v>
      </c>
      <c r="B183" s="8">
        <v>13210101165</v>
      </c>
      <c r="C183" s="8">
        <v>0</v>
      </c>
      <c r="D183" s="8">
        <v>84380.81</v>
      </c>
      <c r="E183" s="8">
        <v>0</v>
      </c>
    </row>
    <row r="184" spans="1:5" x14ac:dyDescent="0.25">
      <c r="A184" s="7" t="s">
        <v>179</v>
      </c>
      <c r="B184" s="8">
        <v>13210101166</v>
      </c>
      <c r="C184" s="8">
        <v>0</v>
      </c>
      <c r="D184" s="8">
        <v>25330.59</v>
      </c>
      <c r="E184" s="8">
        <v>0</v>
      </c>
    </row>
    <row r="185" spans="1:5" x14ac:dyDescent="0.25">
      <c r="A185" s="7" t="s">
        <v>100</v>
      </c>
      <c r="B185" s="8">
        <v>13210101040</v>
      </c>
      <c r="C185" s="8">
        <v>0</v>
      </c>
      <c r="D185" s="8">
        <v>276.72000000000003</v>
      </c>
      <c r="E185" s="8">
        <v>0</v>
      </c>
    </row>
    <row r="186" spans="1:5" x14ac:dyDescent="0.25">
      <c r="A186" s="7" t="s">
        <v>94</v>
      </c>
      <c r="B186" s="8">
        <v>13210101022</v>
      </c>
      <c r="C186" s="8">
        <v>0</v>
      </c>
      <c r="D186" s="8">
        <v>1235.32</v>
      </c>
      <c r="E186" s="8">
        <v>0</v>
      </c>
    </row>
    <row r="187" spans="1:5" x14ac:dyDescent="0.25">
      <c r="A187" s="7" t="s">
        <v>122</v>
      </c>
      <c r="B187" s="8">
        <v>13210101072</v>
      </c>
      <c r="C187" s="8">
        <v>0</v>
      </c>
      <c r="D187" s="8">
        <v>38192.129999999997</v>
      </c>
      <c r="E187" s="8">
        <v>32000</v>
      </c>
    </row>
    <row r="188" spans="1:5" x14ac:dyDescent="0.25">
      <c r="A188" s="7" t="s">
        <v>131</v>
      </c>
      <c r="B188" s="8">
        <v>13210101089</v>
      </c>
      <c r="C188" s="8">
        <v>0</v>
      </c>
      <c r="D188" s="8">
        <v>19352.41</v>
      </c>
      <c r="E188" s="8">
        <v>14000</v>
      </c>
    </row>
    <row r="189" spans="1:5" x14ac:dyDescent="0.25">
      <c r="A189" s="7" t="s">
        <v>172</v>
      </c>
      <c r="B189" s="8">
        <v>13210101159</v>
      </c>
      <c r="C189" s="8">
        <v>0</v>
      </c>
      <c r="D189" s="8">
        <v>3304.77</v>
      </c>
      <c r="E189" s="8">
        <v>0</v>
      </c>
    </row>
    <row r="190" spans="1:5" x14ac:dyDescent="0.25">
      <c r="A190" s="7" t="s">
        <v>144</v>
      </c>
      <c r="B190" s="8">
        <v>13210101113</v>
      </c>
      <c r="C190" s="8">
        <v>0</v>
      </c>
      <c r="D190" s="8">
        <v>52.29</v>
      </c>
      <c r="E190" s="8">
        <v>0</v>
      </c>
    </row>
    <row r="191" spans="1:5" x14ac:dyDescent="0.25">
      <c r="A191" s="7" t="s">
        <v>145</v>
      </c>
      <c r="B191" s="8">
        <v>13210101114</v>
      </c>
      <c r="C191" s="8">
        <v>0</v>
      </c>
      <c r="D191" s="8">
        <v>65.58</v>
      </c>
      <c r="E191" s="8">
        <v>0</v>
      </c>
    </row>
    <row r="192" spans="1:5" x14ac:dyDescent="0.25">
      <c r="A192" s="7" t="s">
        <v>160</v>
      </c>
      <c r="B192" s="8">
        <v>13210101145</v>
      </c>
      <c r="C192" s="8">
        <v>0</v>
      </c>
      <c r="D192" s="8">
        <v>18638.3</v>
      </c>
      <c r="E192" s="8">
        <v>0</v>
      </c>
    </row>
    <row r="193" spans="1:5" x14ac:dyDescent="0.25">
      <c r="A193" s="7" t="s">
        <v>175</v>
      </c>
      <c r="B193" s="8">
        <v>13210101162</v>
      </c>
      <c r="C193" s="8">
        <v>0</v>
      </c>
      <c r="D193" s="8">
        <v>181158.93</v>
      </c>
      <c r="E193" s="8">
        <v>0</v>
      </c>
    </row>
    <row r="194" spans="1:5" x14ac:dyDescent="0.25">
      <c r="A194" s="7" t="s">
        <v>168</v>
      </c>
      <c r="B194" s="8">
        <v>13210101153</v>
      </c>
      <c r="C194" s="8">
        <v>0</v>
      </c>
      <c r="D194" s="8">
        <v>145.08000000000001</v>
      </c>
      <c r="E194" s="8">
        <v>0</v>
      </c>
    </row>
    <row r="195" spans="1:5" x14ac:dyDescent="0.25">
      <c r="A195" s="7" t="s">
        <v>136</v>
      </c>
      <c r="B195" s="8">
        <v>13210101100</v>
      </c>
      <c r="C195" s="8">
        <v>0</v>
      </c>
      <c r="D195" s="8">
        <v>3774.07</v>
      </c>
      <c r="E195" s="8">
        <v>0</v>
      </c>
    </row>
    <row r="196" spans="1:5" x14ac:dyDescent="0.25">
      <c r="A196" s="7" t="s">
        <v>162</v>
      </c>
      <c r="B196" s="8">
        <v>13210101147</v>
      </c>
      <c r="C196" s="8">
        <v>0</v>
      </c>
      <c r="D196" s="8">
        <v>6000.05</v>
      </c>
      <c r="E196" s="8">
        <v>0</v>
      </c>
    </row>
    <row r="197" spans="1:5" x14ac:dyDescent="0.25">
      <c r="A197" s="7" t="s">
        <v>133</v>
      </c>
      <c r="B197" s="8">
        <v>13210101095</v>
      </c>
      <c r="C197" s="8">
        <v>0</v>
      </c>
      <c r="D197" s="8">
        <v>789.64</v>
      </c>
      <c r="E197" s="8">
        <v>0</v>
      </c>
    </row>
    <row r="198" spans="1:5" x14ac:dyDescent="0.25">
      <c r="A198" s="7" t="s">
        <v>158</v>
      </c>
      <c r="B198" s="8">
        <v>13210101142</v>
      </c>
      <c r="C198" s="8">
        <v>0</v>
      </c>
      <c r="D198" s="8">
        <v>32733.34</v>
      </c>
      <c r="E198" s="8">
        <v>0</v>
      </c>
    </row>
    <row r="199" spans="1:5" x14ac:dyDescent="0.25">
      <c r="A199" s="7" t="s">
        <v>189</v>
      </c>
      <c r="B199" s="8">
        <v>13210101176</v>
      </c>
      <c r="C199" s="8">
        <v>0</v>
      </c>
      <c r="D199" s="8">
        <v>1346.64</v>
      </c>
      <c r="E199" s="8">
        <v>0</v>
      </c>
    </row>
    <row r="200" spans="1:5" x14ac:dyDescent="0.25">
      <c r="A200" s="7" t="s">
        <v>188</v>
      </c>
      <c r="B200" s="8">
        <v>13210101175</v>
      </c>
      <c r="C200" s="8">
        <v>0</v>
      </c>
      <c r="D200" s="8">
        <v>942.23</v>
      </c>
      <c r="E200" s="8">
        <v>0</v>
      </c>
    </row>
    <row r="201" spans="1:5" x14ac:dyDescent="0.25">
      <c r="A201" s="7" t="s">
        <v>143</v>
      </c>
      <c r="B201" s="8">
        <v>13210101112</v>
      </c>
      <c r="C201" s="8">
        <v>0</v>
      </c>
      <c r="D201" s="8">
        <v>8.82</v>
      </c>
      <c r="E201" s="8">
        <v>0</v>
      </c>
    </row>
    <row r="202" spans="1:5" x14ac:dyDescent="0.25">
      <c r="A202" s="7" t="s">
        <v>105</v>
      </c>
      <c r="B202" s="8">
        <v>13210101049</v>
      </c>
      <c r="C202" s="8">
        <v>0</v>
      </c>
      <c r="D202" s="8">
        <v>224022.16</v>
      </c>
      <c r="E202" s="8">
        <v>0</v>
      </c>
    </row>
    <row r="203" spans="1:5" x14ac:dyDescent="0.25">
      <c r="A203" s="7" t="s">
        <v>79</v>
      </c>
      <c r="B203" s="8">
        <v>13210101001</v>
      </c>
      <c r="C203" s="8">
        <v>0</v>
      </c>
      <c r="D203" s="8">
        <v>2012274.85</v>
      </c>
      <c r="E203" s="8">
        <v>7213000</v>
      </c>
    </row>
    <row r="204" spans="1:5" x14ac:dyDescent="0.25">
      <c r="A204" s="7" t="s">
        <v>93</v>
      </c>
      <c r="B204" s="8">
        <v>13210101018</v>
      </c>
      <c r="C204" s="8">
        <v>0</v>
      </c>
      <c r="D204" s="8">
        <v>235749.86</v>
      </c>
      <c r="E204" s="8">
        <v>255000</v>
      </c>
    </row>
    <row r="205" spans="1:5" x14ac:dyDescent="0.25">
      <c r="A205" s="7" t="s">
        <v>101</v>
      </c>
      <c r="B205" s="8">
        <v>13210101041</v>
      </c>
      <c r="C205" s="8">
        <v>0</v>
      </c>
      <c r="D205" s="8">
        <v>39707.11</v>
      </c>
      <c r="E205" s="8">
        <v>37000</v>
      </c>
    </row>
    <row r="206" spans="1:5" x14ac:dyDescent="0.25">
      <c r="A206" s="7" t="s">
        <v>96</v>
      </c>
      <c r="B206" s="8">
        <v>13210101025</v>
      </c>
      <c r="C206" s="8">
        <v>0</v>
      </c>
      <c r="D206" s="8">
        <v>26192.48</v>
      </c>
      <c r="E206" s="8">
        <v>0</v>
      </c>
    </row>
    <row r="207" spans="1:5" x14ac:dyDescent="0.25">
      <c r="A207" s="7" t="s">
        <v>106</v>
      </c>
      <c r="B207" s="8">
        <v>13210101050</v>
      </c>
      <c r="C207" s="8">
        <v>0</v>
      </c>
      <c r="D207" s="8">
        <v>319570.86</v>
      </c>
      <c r="E207" s="8">
        <v>285000</v>
      </c>
    </row>
    <row r="208" spans="1:5" x14ac:dyDescent="0.25">
      <c r="A208" s="7" t="s">
        <v>129</v>
      </c>
      <c r="B208" s="8">
        <v>13210101086</v>
      </c>
      <c r="C208" s="8">
        <v>0</v>
      </c>
      <c r="D208" s="8">
        <v>788698.7</v>
      </c>
      <c r="E208" s="8">
        <v>393000</v>
      </c>
    </row>
    <row r="209" spans="1:5" x14ac:dyDescent="0.25">
      <c r="A209" s="7" t="s">
        <v>108</v>
      </c>
      <c r="B209" s="8">
        <v>13210101053</v>
      </c>
      <c r="C209" s="8">
        <v>0</v>
      </c>
      <c r="D209" s="8">
        <v>19550.16</v>
      </c>
      <c r="E209" s="8">
        <v>1000</v>
      </c>
    </row>
    <row r="210" spans="1:5" x14ac:dyDescent="0.25">
      <c r="A210" s="7" t="s">
        <v>80</v>
      </c>
      <c r="B210" s="8">
        <v>13210101002</v>
      </c>
      <c r="C210" s="8">
        <v>0</v>
      </c>
      <c r="D210" s="8">
        <v>271717.46000000002</v>
      </c>
      <c r="E210" s="8">
        <v>102000</v>
      </c>
    </row>
    <row r="211" spans="1:5" x14ac:dyDescent="0.25">
      <c r="A211" s="7" t="s">
        <v>107</v>
      </c>
      <c r="B211" s="8">
        <v>13210101051</v>
      </c>
      <c r="C211" s="8">
        <v>0</v>
      </c>
      <c r="D211" s="8">
        <v>68980.12</v>
      </c>
      <c r="E211" s="8">
        <v>136000</v>
      </c>
    </row>
    <row r="212" spans="1:5" x14ac:dyDescent="0.25">
      <c r="A212" s="7" t="s">
        <v>125</v>
      </c>
      <c r="B212" s="8">
        <v>13210101076</v>
      </c>
      <c r="C212" s="8">
        <v>0</v>
      </c>
      <c r="D212" s="8">
        <v>453.82</v>
      </c>
      <c r="E212" s="8">
        <v>2000</v>
      </c>
    </row>
    <row r="213" spans="1:5" x14ac:dyDescent="0.25">
      <c r="A213" s="7" t="s">
        <v>116</v>
      </c>
      <c r="B213" s="8">
        <v>13210101061</v>
      </c>
      <c r="C213" s="8">
        <v>0</v>
      </c>
      <c r="D213" s="8">
        <v>11241.77</v>
      </c>
      <c r="E213" s="8">
        <v>14000</v>
      </c>
    </row>
    <row r="214" spans="1:5" x14ac:dyDescent="0.25">
      <c r="A214" s="7" t="s">
        <v>114</v>
      </c>
      <c r="B214" s="8">
        <v>13210101059</v>
      </c>
      <c r="C214" s="8">
        <v>0</v>
      </c>
      <c r="D214" s="8">
        <v>408.29</v>
      </c>
      <c r="E214" s="8">
        <v>1000</v>
      </c>
    </row>
    <row r="215" spans="1:5" x14ac:dyDescent="0.25">
      <c r="A215" s="7" t="s">
        <v>117</v>
      </c>
      <c r="B215" s="8">
        <v>13210101067</v>
      </c>
      <c r="C215" s="8">
        <v>0</v>
      </c>
      <c r="D215" s="8">
        <v>156380.69</v>
      </c>
      <c r="E215" s="8">
        <v>213000</v>
      </c>
    </row>
    <row r="216" spans="1:5" x14ac:dyDescent="0.25">
      <c r="A216" s="7" t="s">
        <v>156</v>
      </c>
      <c r="B216" s="8">
        <v>13210101140</v>
      </c>
      <c r="C216" s="8">
        <v>0</v>
      </c>
      <c r="D216" s="8">
        <v>533832.25</v>
      </c>
      <c r="E216" s="8">
        <v>447000</v>
      </c>
    </row>
    <row r="217" spans="1:5" x14ac:dyDescent="0.25">
      <c r="A217" s="7" t="s">
        <v>89</v>
      </c>
      <c r="B217" s="8">
        <v>13210101013</v>
      </c>
      <c r="C217" s="8">
        <v>0</v>
      </c>
      <c r="D217" s="8">
        <v>93229.43</v>
      </c>
      <c r="E217" s="8">
        <v>61000</v>
      </c>
    </row>
    <row r="218" spans="1:5" x14ac:dyDescent="0.25">
      <c r="A218" s="7" t="s">
        <v>115</v>
      </c>
      <c r="B218" s="8">
        <v>13210101060</v>
      </c>
      <c r="C218" s="8">
        <v>0</v>
      </c>
      <c r="D218" s="8">
        <v>132881.60000000001</v>
      </c>
      <c r="E218" s="8">
        <v>0</v>
      </c>
    </row>
    <row r="219" spans="1:5" x14ac:dyDescent="0.25">
      <c r="A219" s="7" t="s">
        <v>84</v>
      </c>
      <c r="B219" s="8">
        <v>13210101007</v>
      </c>
      <c r="C219" s="8">
        <v>0</v>
      </c>
      <c r="D219" s="8">
        <v>22078.1</v>
      </c>
      <c r="E219" s="8">
        <v>0</v>
      </c>
    </row>
    <row r="220" spans="1:5" x14ac:dyDescent="0.25">
      <c r="A220" s="7" t="s">
        <v>104</v>
      </c>
      <c r="B220" s="8">
        <v>13210101048</v>
      </c>
      <c r="C220" s="8">
        <v>0</v>
      </c>
      <c r="D220" s="8">
        <v>1216.08</v>
      </c>
      <c r="E220" s="8">
        <v>1000</v>
      </c>
    </row>
    <row r="221" spans="1:5" x14ac:dyDescent="0.25">
      <c r="A221" s="7" t="s">
        <v>113</v>
      </c>
      <c r="B221" s="8">
        <v>13210101058</v>
      </c>
      <c r="C221" s="8">
        <v>0</v>
      </c>
      <c r="D221" s="8">
        <v>1740.99</v>
      </c>
      <c r="E221" s="8">
        <v>0</v>
      </c>
    </row>
    <row r="222" spans="1:5" x14ac:dyDescent="0.25">
      <c r="A222" s="7" t="s">
        <v>153</v>
      </c>
      <c r="B222" s="8">
        <v>13210101135</v>
      </c>
      <c r="C222" s="8">
        <v>0</v>
      </c>
      <c r="D222" s="8">
        <v>25292.93</v>
      </c>
      <c r="E222" s="8">
        <v>0</v>
      </c>
    </row>
    <row r="223" spans="1:5" x14ac:dyDescent="0.25">
      <c r="A223" s="7" t="s">
        <v>165</v>
      </c>
      <c r="B223" s="8">
        <v>13210101150</v>
      </c>
      <c r="C223" s="8">
        <v>0</v>
      </c>
      <c r="D223" s="8">
        <v>21061.25</v>
      </c>
      <c r="E223" s="8">
        <v>36000</v>
      </c>
    </row>
    <row r="224" spans="1:5" x14ac:dyDescent="0.25">
      <c r="A224" s="7" t="s">
        <v>119</v>
      </c>
      <c r="B224" s="8">
        <v>13210101069</v>
      </c>
      <c r="C224" s="8">
        <v>0</v>
      </c>
      <c r="D224" s="8">
        <v>1070.1199999999999</v>
      </c>
      <c r="E224" s="8">
        <v>0</v>
      </c>
    </row>
    <row r="225" spans="1:5" x14ac:dyDescent="0.25">
      <c r="A225" s="7" t="s">
        <v>91</v>
      </c>
      <c r="B225" s="8">
        <v>13210101016</v>
      </c>
      <c r="C225" s="8">
        <v>0</v>
      </c>
      <c r="D225" s="8">
        <v>953728.18</v>
      </c>
      <c r="E225" s="8">
        <v>300000</v>
      </c>
    </row>
    <row r="226" spans="1:5" x14ac:dyDescent="0.25">
      <c r="A226" s="7" t="s">
        <v>127</v>
      </c>
      <c r="B226" s="8">
        <v>13210101083</v>
      </c>
      <c r="C226" s="8">
        <v>0</v>
      </c>
      <c r="D226" s="8">
        <v>198126.76</v>
      </c>
      <c r="E226" s="8">
        <v>122000</v>
      </c>
    </row>
    <row r="227" spans="1:5" x14ac:dyDescent="0.25">
      <c r="A227" s="7" t="s">
        <v>167</v>
      </c>
      <c r="B227" s="8">
        <v>13210101152</v>
      </c>
      <c r="C227" s="8">
        <v>0</v>
      </c>
      <c r="D227" s="8">
        <v>1578.73</v>
      </c>
      <c r="E227" s="8">
        <v>0</v>
      </c>
    </row>
    <row r="228" spans="1:5" x14ac:dyDescent="0.25">
      <c r="A228" s="7" t="s">
        <v>152</v>
      </c>
      <c r="B228" s="8">
        <v>13210101134</v>
      </c>
      <c r="C228" s="8">
        <v>0</v>
      </c>
      <c r="D228" s="8">
        <v>29127.05</v>
      </c>
      <c r="E228" s="8">
        <v>0</v>
      </c>
    </row>
    <row r="229" spans="1:5" x14ac:dyDescent="0.25">
      <c r="A229" s="7" t="s">
        <v>164</v>
      </c>
      <c r="B229" s="8">
        <v>13210101149</v>
      </c>
      <c r="C229" s="8">
        <v>0</v>
      </c>
      <c r="D229" s="8">
        <v>1284540.8500000001</v>
      </c>
      <c r="E229" s="8">
        <v>0</v>
      </c>
    </row>
    <row r="230" spans="1:5" x14ac:dyDescent="0.25">
      <c r="A230" s="7" t="s">
        <v>148</v>
      </c>
      <c r="B230" s="8">
        <v>13210101128</v>
      </c>
      <c r="C230" s="8">
        <v>0</v>
      </c>
      <c r="D230" s="8">
        <v>6658.68</v>
      </c>
      <c r="E230" s="8">
        <v>0</v>
      </c>
    </row>
    <row r="231" spans="1:5" x14ac:dyDescent="0.25">
      <c r="A231" s="7" t="s">
        <v>97</v>
      </c>
      <c r="B231" s="8">
        <v>13210101027</v>
      </c>
      <c r="C231" s="8">
        <v>0</v>
      </c>
      <c r="D231" s="8">
        <v>0.01</v>
      </c>
      <c r="E231" s="8">
        <v>0</v>
      </c>
    </row>
    <row r="232" spans="1:5" x14ac:dyDescent="0.25">
      <c r="A232" s="7" t="s">
        <v>109</v>
      </c>
      <c r="B232" s="8">
        <v>13210101054</v>
      </c>
      <c r="C232" s="8">
        <v>0</v>
      </c>
      <c r="D232" s="8">
        <v>1085.82</v>
      </c>
      <c r="E232" s="8">
        <v>0</v>
      </c>
    </row>
    <row r="233" spans="1:5" x14ac:dyDescent="0.25">
      <c r="A233" s="7" t="s">
        <v>146</v>
      </c>
      <c r="B233" s="8">
        <v>13210101115</v>
      </c>
      <c r="C233" s="8">
        <v>0</v>
      </c>
      <c r="D233" s="8">
        <v>265413.25</v>
      </c>
      <c r="E233" s="8">
        <v>240000</v>
      </c>
    </row>
    <row r="234" spans="1:5" x14ac:dyDescent="0.25">
      <c r="A234" s="7" t="s">
        <v>183</v>
      </c>
      <c r="B234" s="8">
        <v>13210101170</v>
      </c>
      <c r="C234" s="8">
        <v>0</v>
      </c>
      <c r="D234" s="8">
        <v>9091.42</v>
      </c>
      <c r="E234" s="8">
        <v>0</v>
      </c>
    </row>
    <row r="235" spans="1:5" x14ac:dyDescent="0.25">
      <c r="A235" s="7" t="s">
        <v>112</v>
      </c>
      <c r="B235" s="8">
        <v>13210101057</v>
      </c>
      <c r="C235" s="8">
        <v>0</v>
      </c>
      <c r="D235" s="8">
        <v>1206.18</v>
      </c>
      <c r="E235" s="8">
        <v>0</v>
      </c>
    </row>
    <row r="236" spans="1:5" x14ac:dyDescent="0.25">
      <c r="A236" s="7" t="s">
        <v>95</v>
      </c>
      <c r="B236" s="8">
        <v>13210101024</v>
      </c>
      <c r="C236" s="8">
        <v>0</v>
      </c>
      <c r="D236" s="8">
        <v>44419.47</v>
      </c>
      <c r="E236" s="8">
        <v>0</v>
      </c>
    </row>
    <row r="237" spans="1:5" x14ac:dyDescent="0.25">
      <c r="A237" s="7" t="s">
        <v>87</v>
      </c>
      <c r="B237" s="8">
        <v>13210101010</v>
      </c>
      <c r="C237" s="8">
        <v>0</v>
      </c>
      <c r="D237" s="8">
        <v>95983.28</v>
      </c>
      <c r="E237" s="8">
        <v>767000</v>
      </c>
    </row>
    <row r="238" spans="1:5" x14ac:dyDescent="0.25">
      <c r="A238" s="7" t="s">
        <v>111</v>
      </c>
      <c r="B238" s="8">
        <v>13210101056</v>
      </c>
      <c r="C238" s="8">
        <v>0</v>
      </c>
      <c r="D238" s="8">
        <v>8563.0400000000009</v>
      </c>
      <c r="E238" s="8">
        <v>13000</v>
      </c>
    </row>
    <row r="239" spans="1:5" x14ac:dyDescent="0.25">
      <c r="A239" s="7" t="s">
        <v>171</v>
      </c>
      <c r="B239" s="8">
        <v>13210101158</v>
      </c>
      <c r="C239" s="8">
        <v>0</v>
      </c>
      <c r="D239" s="8">
        <v>52213.48</v>
      </c>
      <c r="E239" s="8">
        <v>0</v>
      </c>
    </row>
    <row r="240" spans="1:5" x14ac:dyDescent="0.25">
      <c r="A240" s="7" t="s">
        <v>169</v>
      </c>
      <c r="B240" s="8">
        <v>13210101154</v>
      </c>
      <c r="C240" s="8">
        <v>0</v>
      </c>
      <c r="D240" s="8">
        <v>4853.22</v>
      </c>
      <c r="E240" s="8">
        <v>0</v>
      </c>
    </row>
    <row r="241" spans="1:5" x14ac:dyDescent="0.25">
      <c r="A241" s="7" t="s">
        <v>120</v>
      </c>
      <c r="B241" s="8">
        <v>13210101070</v>
      </c>
      <c r="C241" s="8">
        <v>0</v>
      </c>
      <c r="D241" s="8">
        <v>23692603.059999999</v>
      </c>
      <c r="E241" s="8">
        <v>22852000</v>
      </c>
    </row>
    <row r="242" spans="1:5" x14ac:dyDescent="0.25">
      <c r="A242" s="7" t="s">
        <v>161</v>
      </c>
      <c r="B242" s="8">
        <v>13210101146</v>
      </c>
      <c r="C242" s="8">
        <v>0</v>
      </c>
      <c r="D242" s="8">
        <v>1267.79</v>
      </c>
      <c r="E242" s="8">
        <v>0</v>
      </c>
    </row>
    <row r="243" spans="1:5" x14ac:dyDescent="0.25">
      <c r="A243" s="7" t="s">
        <v>149</v>
      </c>
      <c r="B243" s="8">
        <v>13210101131</v>
      </c>
      <c r="C243" s="8">
        <v>0</v>
      </c>
      <c r="D243" s="8">
        <v>3493.03</v>
      </c>
      <c r="E243" s="8">
        <v>0</v>
      </c>
    </row>
    <row r="244" spans="1:5" x14ac:dyDescent="0.25">
      <c r="A244" s="7" t="s">
        <v>147</v>
      </c>
      <c r="B244" s="8">
        <v>13210101117</v>
      </c>
      <c r="C244" s="8">
        <v>0</v>
      </c>
      <c r="D244" s="8">
        <v>238.1</v>
      </c>
      <c r="E244" s="8">
        <v>0</v>
      </c>
    </row>
    <row r="245" spans="1:5" x14ac:dyDescent="0.25">
      <c r="A245" s="7" t="s">
        <v>138</v>
      </c>
      <c r="B245" s="8">
        <v>13210101103</v>
      </c>
      <c r="C245" s="8">
        <v>0</v>
      </c>
      <c r="D245" s="8">
        <v>17.71</v>
      </c>
      <c r="E245" s="8">
        <v>0</v>
      </c>
    </row>
    <row r="246" spans="1:5" x14ac:dyDescent="0.25">
      <c r="A246" s="7" t="s">
        <v>187</v>
      </c>
      <c r="B246" s="8">
        <v>13210101174</v>
      </c>
      <c r="C246" s="8">
        <v>0</v>
      </c>
      <c r="D246" s="8">
        <v>2460.6799999999998</v>
      </c>
      <c r="E246" s="8">
        <v>0</v>
      </c>
    </row>
    <row r="247" spans="1:5" x14ac:dyDescent="0.25">
      <c r="A247" s="7" t="s">
        <v>102</v>
      </c>
      <c r="B247" s="8">
        <v>13210101042</v>
      </c>
      <c r="C247" s="8">
        <v>0</v>
      </c>
      <c r="D247" s="8">
        <v>222357.69</v>
      </c>
      <c r="E247" s="8">
        <v>801000</v>
      </c>
    </row>
    <row r="248" spans="1:5" x14ac:dyDescent="0.25">
      <c r="A248" s="7" t="s">
        <v>121</v>
      </c>
      <c r="B248" s="8">
        <v>13210101071</v>
      </c>
      <c r="C248" s="8">
        <v>0</v>
      </c>
      <c r="D248" s="8">
        <v>106147.45</v>
      </c>
      <c r="E248" s="8">
        <v>103000</v>
      </c>
    </row>
    <row r="249" spans="1:5" x14ac:dyDescent="0.25">
      <c r="A249" s="7" t="s">
        <v>86</v>
      </c>
      <c r="B249" s="8">
        <v>13210101009</v>
      </c>
      <c r="C249" s="8">
        <v>0</v>
      </c>
      <c r="D249" s="8">
        <v>2843238.91</v>
      </c>
      <c r="E249" s="8">
        <v>4126000</v>
      </c>
    </row>
    <row r="250" spans="1:5" x14ac:dyDescent="0.25">
      <c r="A250" s="7" t="s">
        <v>98</v>
      </c>
      <c r="B250" s="8">
        <v>13210101028</v>
      </c>
      <c r="C250" s="8">
        <v>0</v>
      </c>
      <c r="D250" s="8">
        <v>1409.67</v>
      </c>
      <c r="E250" s="8">
        <v>0</v>
      </c>
    </row>
    <row r="251" spans="1:5" x14ac:dyDescent="0.25">
      <c r="A251" s="7" t="s">
        <v>85</v>
      </c>
      <c r="B251" s="8">
        <v>13210101008</v>
      </c>
      <c r="C251" s="8">
        <v>0</v>
      </c>
      <c r="D251" s="8">
        <v>176005.63</v>
      </c>
      <c r="E251" s="8">
        <v>2049000</v>
      </c>
    </row>
    <row r="252" spans="1:5" x14ac:dyDescent="0.25">
      <c r="A252" s="7" t="s">
        <v>124</v>
      </c>
      <c r="B252" s="8">
        <v>13210101074</v>
      </c>
      <c r="C252" s="8">
        <v>0</v>
      </c>
      <c r="D252" s="8">
        <v>2382553.34</v>
      </c>
      <c r="E252" s="8">
        <v>3552000</v>
      </c>
    </row>
    <row r="253" spans="1:5" x14ac:dyDescent="0.25">
      <c r="A253" s="7" t="s">
        <v>81</v>
      </c>
      <c r="B253" s="8">
        <v>13210101003</v>
      </c>
      <c r="C253" s="8">
        <v>0</v>
      </c>
      <c r="D253" s="8">
        <v>0</v>
      </c>
      <c r="E253" s="8">
        <v>10000</v>
      </c>
    </row>
    <row r="254" spans="1:5" x14ac:dyDescent="0.25">
      <c r="A254" s="7" t="s">
        <v>83</v>
      </c>
      <c r="B254" s="8">
        <v>13210101006</v>
      </c>
      <c r="C254" s="8">
        <v>0</v>
      </c>
      <c r="D254" s="8">
        <v>809136.39</v>
      </c>
      <c r="E254" s="8">
        <v>336000</v>
      </c>
    </row>
    <row r="255" spans="1:5" x14ac:dyDescent="0.25">
      <c r="A255" s="7" t="s">
        <v>139</v>
      </c>
      <c r="B255" s="8">
        <v>13210101107</v>
      </c>
      <c r="C255" s="8">
        <v>0</v>
      </c>
      <c r="D255" s="8">
        <v>353387.31</v>
      </c>
      <c r="E255" s="8">
        <v>0</v>
      </c>
    </row>
    <row r="256" spans="1:5" x14ac:dyDescent="0.25">
      <c r="A256" s="7" t="s">
        <v>141</v>
      </c>
      <c r="B256" s="8">
        <v>13210101109</v>
      </c>
      <c r="C256" s="8">
        <v>0</v>
      </c>
      <c r="D256" s="8">
        <v>395651.21</v>
      </c>
      <c r="E256" s="8">
        <v>0</v>
      </c>
    </row>
    <row r="257" spans="1:5" x14ac:dyDescent="0.25">
      <c r="A257" s="7" t="s">
        <v>140</v>
      </c>
      <c r="B257" s="8">
        <v>13210101108</v>
      </c>
      <c r="C257" s="8">
        <v>0</v>
      </c>
      <c r="D257" s="8">
        <v>43145.19</v>
      </c>
      <c r="E257" s="8">
        <v>0</v>
      </c>
    </row>
    <row r="258" spans="1:5" x14ac:dyDescent="0.25">
      <c r="A258" s="7" t="s">
        <v>186</v>
      </c>
      <c r="B258" s="8">
        <v>13210101173</v>
      </c>
      <c r="C258" s="8">
        <v>0</v>
      </c>
      <c r="D258" s="8">
        <v>4942.45</v>
      </c>
      <c r="E258" s="8">
        <v>0</v>
      </c>
    </row>
    <row r="259" spans="1:5" x14ac:dyDescent="0.25">
      <c r="A259" s="7" t="s">
        <v>118</v>
      </c>
      <c r="B259" s="8">
        <v>13210101068</v>
      </c>
      <c r="C259" s="8">
        <v>0</v>
      </c>
      <c r="D259" s="8">
        <v>391.34</v>
      </c>
      <c r="E259" s="8">
        <v>0</v>
      </c>
    </row>
    <row r="260" spans="1:5" x14ac:dyDescent="0.25">
      <c r="A260" s="7" t="s">
        <v>130</v>
      </c>
      <c r="B260" s="8">
        <v>13210101087</v>
      </c>
      <c r="C260" s="8">
        <v>0</v>
      </c>
      <c r="D260" s="8">
        <v>8789.07</v>
      </c>
      <c r="E260" s="8">
        <v>0</v>
      </c>
    </row>
    <row r="261" spans="1:5" x14ac:dyDescent="0.25">
      <c r="A261" s="7" t="s">
        <v>92</v>
      </c>
      <c r="B261" s="8">
        <v>13210101017</v>
      </c>
      <c r="C261" s="8">
        <v>0</v>
      </c>
      <c r="D261" s="8">
        <v>125761.56</v>
      </c>
      <c r="E261" s="8">
        <v>92000</v>
      </c>
    </row>
    <row r="262" spans="1:5" x14ac:dyDescent="0.25">
      <c r="A262" s="7" t="s">
        <v>313</v>
      </c>
      <c r="B262" s="8">
        <v>19110102001</v>
      </c>
      <c r="C262" s="8">
        <v>0</v>
      </c>
      <c r="D262" s="8">
        <v>4086.2</v>
      </c>
      <c r="E262" s="8">
        <v>0</v>
      </c>
    </row>
    <row r="263" spans="1:5" x14ac:dyDescent="0.25">
      <c r="A263" s="7" t="s">
        <v>77</v>
      </c>
      <c r="B263" s="8">
        <v>13210000000</v>
      </c>
      <c r="C263" s="8">
        <v>66.239999999999995</v>
      </c>
      <c r="D263" s="8">
        <v>41917636.380000003</v>
      </c>
      <c r="E263" s="8">
        <v>45943000</v>
      </c>
    </row>
    <row r="264" spans="1:5" x14ac:dyDescent="0.25">
      <c r="A264" s="7" t="s">
        <v>252</v>
      </c>
      <c r="B264" s="8">
        <v>17165001006</v>
      </c>
      <c r="C264" s="8">
        <v>121083.08</v>
      </c>
      <c r="D264" s="8">
        <v>952463.01</v>
      </c>
      <c r="E264" s="8">
        <v>1229000</v>
      </c>
    </row>
    <row r="265" spans="1:5" x14ac:dyDescent="0.25">
      <c r="A265" s="7" t="s">
        <v>304</v>
      </c>
      <c r="B265" s="8">
        <v>38210000000</v>
      </c>
      <c r="C265" s="8">
        <v>7934280.4000000004</v>
      </c>
      <c r="D265" s="8">
        <v>52586045</v>
      </c>
      <c r="E265" s="8">
        <v>75904000</v>
      </c>
    </row>
    <row r="266" spans="1:5" x14ac:dyDescent="0.25">
      <c r="A266" s="7" t="s">
        <v>358</v>
      </c>
      <c r="B266" s="8">
        <v>19999924001</v>
      </c>
      <c r="C266" s="8">
        <v>590450.02</v>
      </c>
      <c r="D266" s="8">
        <v>4285931.2699999996</v>
      </c>
      <c r="E266" s="8">
        <v>6638000</v>
      </c>
    </row>
    <row r="267" spans="1:5" x14ac:dyDescent="0.25">
      <c r="A267" s="7" t="s">
        <v>319</v>
      </c>
      <c r="B267" s="8">
        <v>19110900000</v>
      </c>
      <c r="C267" s="8">
        <v>40999.56</v>
      </c>
      <c r="D267" s="8">
        <v>53335.89</v>
      </c>
      <c r="E267" s="8">
        <v>0</v>
      </c>
    </row>
    <row r="268" spans="1:5" x14ac:dyDescent="0.25">
      <c r="A268" s="7" t="s">
        <v>320</v>
      </c>
      <c r="B268" s="8">
        <v>19110901000</v>
      </c>
      <c r="C268" s="8">
        <v>40999.56</v>
      </c>
      <c r="D268" s="8">
        <v>53335.89</v>
      </c>
      <c r="E268" s="8">
        <v>0</v>
      </c>
    </row>
    <row r="269" spans="1:5" x14ac:dyDescent="0.25">
      <c r="A269" s="7" t="s">
        <v>310</v>
      </c>
      <c r="B269" s="8">
        <v>19110101008</v>
      </c>
      <c r="C269" s="8">
        <v>17247.97</v>
      </c>
      <c r="D269" s="8">
        <v>73964.14</v>
      </c>
      <c r="E269" s="8">
        <v>65000</v>
      </c>
    </row>
    <row r="270" spans="1:5" x14ac:dyDescent="0.25">
      <c r="A270" s="7" t="s">
        <v>308</v>
      </c>
      <c r="B270" s="8">
        <v>19110101005</v>
      </c>
      <c r="C270" s="8">
        <v>0</v>
      </c>
      <c r="D270" s="8">
        <v>0</v>
      </c>
      <c r="E270" s="8">
        <v>18000</v>
      </c>
    </row>
    <row r="271" spans="1:5" x14ac:dyDescent="0.25">
      <c r="A271" s="7" t="s">
        <v>311</v>
      </c>
      <c r="B271" s="8">
        <v>19110101009</v>
      </c>
      <c r="C271" s="8">
        <v>46765.61</v>
      </c>
      <c r="D271" s="8">
        <v>843823.08</v>
      </c>
      <c r="E271" s="8">
        <v>3000000</v>
      </c>
    </row>
    <row r="272" spans="1:5" x14ac:dyDescent="0.25">
      <c r="A272" s="7" t="s">
        <v>307</v>
      </c>
      <c r="B272" s="8">
        <v>19110101004</v>
      </c>
      <c r="C272" s="8">
        <v>47625.58</v>
      </c>
      <c r="D272" s="8">
        <v>338770.22</v>
      </c>
      <c r="E272" s="8">
        <v>765000</v>
      </c>
    </row>
    <row r="273" spans="1:5" x14ac:dyDescent="0.25">
      <c r="A273" s="7" t="s">
        <v>309</v>
      </c>
      <c r="B273" s="8">
        <v>19110101006</v>
      </c>
      <c r="C273" s="8">
        <v>20574.509999999998</v>
      </c>
      <c r="D273" s="8">
        <v>150799.15</v>
      </c>
      <c r="E273" s="8">
        <v>274000</v>
      </c>
    </row>
    <row r="274" spans="1:5" x14ac:dyDescent="0.25">
      <c r="A274" s="7" t="s">
        <v>305</v>
      </c>
      <c r="B274" s="8">
        <v>19110100000</v>
      </c>
      <c r="C274" s="8">
        <v>136727.12</v>
      </c>
      <c r="D274" s="8">
        <v>1627204.5</v>
      </c>
      <c r="E274" s="8">
        <v>4124000</v>
      </c>
    </row>
    <row r="275" spans="1:5" x14ac:dyDescent="0.25">
      <c r="A275" s="7" t="s">
        <v>314</v>
      </c>
      <c r="B275" s="8">
        <v>19110103000</v>
      </c>
      <c r="C275" s="8">
        <v>2405.64</v>
      </c>
      <c r="D275" s="8">
        <v>103437.47</v>
      </c>
      <c r="E275" s="8">
        <v>2000</v>
      </c>
    </row>
    <row r="276" spans="1:5" x14ac:dyDescent="0.25">
      <c r="A276" s="7" t="s">
        <v>312</v>
      </c>
      <c r="B276" s="8">
        <v>19110102000</v>
      </c>
      <c r="C276" s="8">
        <v>0</v>
      </c>
      <c r="D276" s="8">
        <v>4086.2</v>
      </c>
      <c r="E276" s="8">
        <v>0</v>
      </c>
    </row>
    <row r="277" spans="1:5" x14ac:dyDescent="0.25">
      <c r="A277" s="7" t="s">
        <v>306</v>
      </c>
      <c r="B277" s="8">
        <v>19110101000</v>
      </c>
      <c r="C277" s="8">
        <v>132213.67000000001</v>
      </c>
      <c r="D277" s="8">
        <v>1407356.59</v>
      </c>
      <c r="E277" s="8">
        <v>4122000</v>
      </c>
    </row>
    <row r="278" spans="1:5" x14ac:dyDescent="0.25">
      <c r="A278" s="7" t="s">
        <v>317</v>
      </c>
      <c r="B278" s="8">
        <v>19110104000</v>
      </c>
      <c r="C278" s="8">
        <v>2107.81</v>
      </c>
      <c r="D278" s="8">
        <v>112324.24</v>
      </c>
      <c r="E278" s="8">
        <v>0</v>
      </c>
    </row>
    <row r="279" spans="1:5" x14ac:dyDescent="0.25">
      <c r="A279" s="7" t="s">
        <v>323</v>
      </c>
      <c r="B279" s="8">
        <v>19111401003</v>
      </c>
      <c r="C279" s="8">
        <v>0</v>
      </c>
      <c r="D279" s="8">
        <v>0</v>
      </c>
      <c r="E279" s="8">
        <v>1845000</v>
      </c>
    </row>
    <row r="280" spans="1:5" x14ac:dyDescent="0.25">
      <c r="A280" s="7" t="s">
        <v>322</v>
      </c>
      <c r="B280" s="8">
        <v>19111401001</v>
      </c>
      <c r="C280" s="8">
        <v>3789413.52</v>
      </c>
      <c r="D280" s="8">
        <v>24612482.109999999</v>
      </c>
      <c r="E280" s="8">
        <v>31980000</v>
      </c>
    </row>
    <row r="281" spans="1:5" x14ac:dyDescent="0.25">
      <c r="A281" s="7" t="s">
        <v>321</v>
      </c>
      <c r="B281" s="8">
        <v>19111400000</v>
      </c>
      <c r="C281" s="8">
        <v>3789413.52</v>
      </c>
      <c r="D281" s="8">
        <v>24612482.109999999</v>
      </c>
      <c r="E281" s="8">
        <v>33828000</v>
      </c>
    </row>
    <row r="282" spans="1:5" x14ac:dyDescent="0.25">
      <c r="A282" s="7" t="s">
        <v>328</v>
      </c>
      <c r="B282" s="8">
        <v>19219900000</v>
      </c>
      <c r="C282" s="8">
        <v>22665.63</v>
      </c>
      <c r="D282" s="8">
        <v>461732.44</v>
      </c>
      <c r="E282" s="8">
        <v>68000</v>
      </c>
    </row>
    <row r="283" spans="1:5" x14ac:dyDescent="0.25">
      <c r="A283" s="7" t="s">
        <v>335</v>
      </c>
      <c r="B283" s="8">
        <v>19999900000</v>
      </c>
      <c r="C283" s="8">
        <v>7305049.5099999998</v>
      </c>
      <c r="D283" s="8">
        <v>44845966.359999999</v>
      </c>
      <c r="E283" s="8">
        <v>56518000</v>
      </c>
    </row>
    <row r="284" spans="1:5" x14ac:dyDescent="0.25">
      <c r="A284" s="7" t="s">
        <v>303</v>
      </c>
      <c r="B284" s="8">
        <v>38990000000</v>
      </c>
      <c r="C284" s="8">
        <v>18691551.59</v>
      </c>
      <c r="D284" s="8">
        <v>124044373.23</v>
      </c>
      <c r="E284" s="8">
        <v>151056000</v>
      </c>
    </row>
    <row r="285" spans="1:5" x14ac:dyDescent="0.25">
      <c r="A285" s="7" t="s">
        <v>382</v>
      </c>
      <c r="B285" s="8">
        <v>79000000000</v>
      </c>
      <c r="C285" s="8">
        <v>2055</v>
      </c>
      <c r="D285" s="8">
        <v>2099582.7400000002</v>
      </c>
      <c r="E285" s="8">
        <v>0</v>
      </c>
    </row>
    <row r="286" spans="1:5" x14ac:dyDescent="0.25">
      <c r="A286" s="7" t="s">
        <v>336</v>
      </c>
      <c r="B286" s="8">
        <v>19999920000</v>
      </c>
      <c r="C286" s="8">
        <v>7305049.5099999998</v>
      </c>
      <c r="D286" s="8">
        <v>44845966.359999999</v>
      </c>
      <c r="E286" s="8">
        <v>56518000</v>
      </c>
    </row>
    <row r="287" spans="1:5" x14ac:dyDescent="0.25">
      <c r="A287" s="7" t="s">
        <v>384</v>
      </c>
      <c r="B287" s="8">
        <v>79999920000</v>
      </c>
      <c r="C287" s="8">
        <v>2055</v>
      </c>
      <c r="D287" s="8">
        <v>2099582.7400000002</v>
      </c>
      <c r="E287" s="8">
        <v>0</v>
      </c>
    </row>
    <row r="288" spans="1:5" x14ac:dyDescent="0.25">
      <c r="A288" s="7" t="s">
        <v>366</v>
      </c>
      <c r="B288" s="8">
        <v>24149900000</v>
      </c>
      <c r="C288" s="8">
        <v>165811.51999999999</v>
      </c>
      <c r="D288" s="8">
        <v>2200640.1800000002</v>
      </c>
      <c r="E288" s="8">
        <v>0</v>
      </c>
    </row>
    <row r="289" spans="1:5" x14ac:dyDescent="0.25">
      <c r="A289" s="7" t="s">
        <v>280</v>
      </c>
      <c r="B289" s="8">
        <v>41479800000</v>
      </c>
      <c r="C289" s="8">
        <v>150131.31</v>
      </c>
      <c r="D289" s="8">
        <v>1198496.52</v>
      </c>
      <c r="E289" s="8">
        <v>9657000</v>
      </c>
    </row>
    <row r="290" spans="1:5" x14ac:dyDescent="0.25">
      <c r="A290" s="7" t="s">
        <v>377</v>
      </c>
      <c r="B290" s="8">
        <v>24419900000</v>
      </c>
      <c r="C290" s="8">
        <v>1340267.1599999999</v>
      </c>
      <c r="D290" s="8">
        <v>9744476.9399999995</v>
      </c>
      <c r="E290" s="8">
        <v>9532000</v>
      </c>
    </row>
    <row r="291" spans="1:5" x14ac:dyDescent="0.25">
      <c r="A291" s="7" t="s">
        <v>255</v>
      </c>
      <c r="B291" s="8">
        <v>99959700000</v>
      </c>
      <c r="C291" s="8">
        <v>11023234.92</v>
      </c>
      <c r="D291" s="8">
        <v>16277179.940000001</v>
      </c>
      <c r="E291" s="8">
        <v>4384000</v>
      </c>
    </row>
    <row r="292" spans="1:5" x14ac:dyDescent="0.25">
      <c r="A292" s="7" t="s">
        <v>362</v>
      </c>
      <c r="B292" s="8">
        <v>24119900000</v>
      </c>
      <c r="C292" s="8">
        <v>0</v>
      </c>
      <c r="D292" s="8">
        <v>124848</v>
      </c>
      <c r="E292" s="8">
        <v>0</v>
      </c>
    </row>
    <row r="293" spans="1:5" x14ac:dyDescent="0.25">
      <c r="A293" s="7" t="s">
        <v>375</v>
      </c>
      <c r="B293" s="8">
        <v>48589900000</v>
      </c>
      <c r="C293" s="8">
        <v>0</v>
      </c>
      <c r="D293" s="8">
        <v>140000</v>
      </c>
      <c r="E293" s="8">
        <v>0</v>
      </c>
    </row>
    <row r="294" spans="1:5" x14ac:dyDescent="0.25">
      <c r="A294" s="7" t="s">
        <v>287</v>
      </c>
      <c r="B294" s="8">
        <v>17299900000</v>
      </c>
      <c r="C294" s="8">
        <v>0</v>
      </c>
      <c r="D294" s="8">
        <v>200000</v>
      </c>
      <c r="E294" s="8">
        <v>0</v>
      </c>
    </row>
    <row r="295" spans="1:5" x14ac:dyDescent="0.25">
      <c r="A295" s="7" t="s">
        <v>283</v>
      </c>
      <c r="B295" s="8">
        <v>17290000000</v>
      </c>
      <c r="C295" s="8">
        <v>141696.4</v>
      </c>
      <c r="D295" s="8">
        <v>1633382.93</v>
      </c>
      <c r="E295" s="8">
        <v>1700000</v>
      </c>
    </row>
    <row r="296" spans="1:5" x14ac:dyDescent="0.25">
      <c r="A296" s="7" t="s">
        <v>263</v>
      </c>
      <c r="B296" s="8">
        <v>17210000000</v>
      </c>
      <c r="C296" s="8">
        <v>114654541.02</v>
      </c>
      <c r="D296" s="8">
        <v>997974657.82000005</v>
      </c>
      <c r="E296" s="8">
        <v>1560625000</v>
      </c>
    </row>
    <row r="297" spans="1:5" x14ac:dyDescent="0.25">
      <c r="A297" s="7" t="s">
        <v>379</v>
      </c>
      <c r="B297" s="8">
        <v>24419901006</v>
      </c>
      <c r="C297" s="8">
        <v>667734.98</v>
      </c>
      <c r="D297" s="8">
        <v>4478969.32</v>
      </c>
      <c r="E297" s="8">
        <v>2040000</v>
      </c>
    </row>
    <row r="298" spans="1:5" x14ac:dyDescent="0.25">
      <c r="A298" s="7" t="s">
        <v>251</v>
      </c>
      <c r="B298" s="8">
        <v>17165001002</v>
      </c>
      <c r="C298" s="8">
        <v>0</v>
      </c>
      <c r="D298" s="8">
        <v>59977.5</v>
      </c>
      <c r="E298" s="8">
        <v>868000</v>
      </c>
    </row>
    <row r="299" spans="1:5" x14ac:dyDescent="0.25">
      <c r="A299" s="7" t="s">
        <v>367</v>
      </c>
      <c r="B299" s="8">
        <v>24149901008</v>
      </c>
      <c r="C299" s="8">
        <v>0</v>
      </c>
      <c r="D299" s="8">
        <v>29328.66</v>
      </c>
      <c r="E299" s="8">
        <v>0</v>
      </c>
    </row>
    <row r="300" spans="1:5" x14ac:dyDescent="0.25">
      <c r="A300" s="7" t="s">
        <v>261</v>
      </c>
      <c r="B300" s="8">
        <v>17199901008</v>
      </c>
      <c r="C300" s="8">
        <v>0</v>
      </c>
      <c r="D300" s="8">
        <v>267055.45</v>
      </c>
      <c r="E300" s="8">
        <v>0</v>
      </c>
    </row>
    <row r="301" spans="1:5" x14ac:dyDescent="0.25">
      <c r="A301" s="7" t="s">
        <v>238</v>
      </c>
      <c r="B301" s="8">
        <v>17145101001</v>
      </c>
      <c r="C301" s="8">
        <v>0</v>
      </c>
      <c r="D301" s="8">
        <v>1320</v>
      </c>
      <c r="E301" s="8">
        <v>0</v>
      </c>
    </row>
    <row r="302" spans="1:5" x14ac:dyDescent="0.25">
      <c r="A302" s="7" t="s">
        <v>256</v>
      </c>
      <c r="B302" s="8">
        <v>17179901001</v>
      </c>
      <c r="C302" s="8">
        <v>0</v>
      </c>
      <c r="D302" s="8">
        <v>494704.18</v>
      </c>
      <c r="E302" s="8">
        <v>0</v>
      </c>
    </row>
    <row r="303" spans="1:5" x14ac:dyDescent="0.25">
      <c r="A303" s="7" t="s">
        <v>241</v>
      </c>
      <c r="B303" s="8">
        <v>17145201002</v>
      </c>
      <c r="C303" s="8">
        <v>25840</v>
      </c>
      <c r="D303" s="8">
        <v>175180</v>
      </c>
      <c r="E303" s="8">
        <v>223000</v>
      </c>
    </row>
    <row r="304" spans="1:5" x14ac:dyDescent="0.25">
      <c r="A304" s="7" t="s">
        <v>242</v>
      </c>
      <c r="B304" s="8">
        <v>17145201003</v>
      </c>
      <c r="C304" s="8">
        <v>405355.6</v>
      </c>
      <c r="D304" s="8">
        <v>2748725.2</v>
      </c>
      <c r="E304" s="8">
        <v>3948000</v>
      </c>
    </row>
    <row r="305" spans="1:5" x14ac:dyDescent="0.25">
      <c r="A305" s="7" t="s">
        <v>244</v>
      </c>
      <c r="B305" s="8">
        <v>17145201005</v>
      </c>
      <c r="C305" s="8">
        <v>10423.68</v>
      </c>
      <c r="D305" s="8">
        <v>70540.679999999993</v>
      </c>
      <c r="E305" s="8">
        <v>91000</v>
      </c>
    </row>
    <row r="306" spans="1:5" x14ac:dyDescent="0.25">
      <c r="A306" s="7" t="s">
        <v>243</v>
      </c>
      <c r="B306" s="8">
        <v>17145201004</v>
      </c>
      <c r="C306" s="8">
        <v>451393.4</v>
      </c>
      <c r="D306" s="8">
        <v>3040203.8</v>
      </c>
      <c r="E306" s="8">
        <v>4417000</v>
      </c>
    </row>
    <row r="307" spans="1:5" x14ac:dyDescent="0.25">
      <c r="A307" s="7" t="s">
        <v>245</v>
      </c>
      <c r="B307" s="8">
        <v>17145201006</v>
      </c>
      <c r="C307" s="8">
        <v>5517.4</v>
      </c>
      <c r="D307" s="8">
        <v>37078.6</v>
      </c>
      <c r="E307" s="8">
        <v>50000</v>
      </c>
    </row>
    <row r="308" spans="1:5" x14ac:dyDescent="0.25">
      <c r="A308" s="7" t="s">
        <v>240</v>
      </c>
      <c r="B308" s="8">
        <v>17145201001</v>
      </c>
      <c r="C308" s="8">
        <v>234738</v>
      </c>
      <c r="D308" s="8">
        <v>1584610.2</v>
      </c>
      <c r="E308" s="8">
        <v>2326000</v>
      </c>
    </row>
    <row r="309" spans="1:5" x14ac:dyDescent="0.25">
      <c r="A309" s="7" t="s">
        <v>247</v>
      </c>
      <c r="B309" s="8">
        <v>17145301001</v>
      </c>
      <c r="C309" s="8">
        <v>108863.42</v>
      </c>
      <c r="D309" s="8">
        <v>387455.58</v>
      </c>
      <c r="E309" s="8">
        <v>707000</v>
      </c>
    </row>
    <row r="310" spans="1:5" x14ac:dyDescent="0.25">
      <c r="A310" s="7" t="s">
        <v>74</v>
      </c>
      <c r="B310" s="8">
        <v>13110201001</v>
      </c>
      <c r="C310" s="8">
        <v>3406.83</v>
      </c>
      <c r="D310" s="8">
        <v>12156.22</v>
      </c>
      <c r="E310" s="8">
        <v>0</v>
      </c>
    </row>
    <row r="311" spans="1:5" x14ac:dyDescent="0.25">
      <c r="A311" s="7" t="s">
        <v>66</v>
      </c>
      <c r="B311" s="8">
        <v>13000000000</v>
      </c>
      <c r="C311" s="8">
        <v>340385.3</v>
      </c>
      <c r="D311" s="8">
        <v>43983639.100000001</v>
      </c>
      <c r="E311" s="8">
        <v>49064000</v>
      </c>
    </row>
    <row r="312" spans="1:5" x14ac:dyDescent="0.25">
      <c r="A312" s="7" t="s">
        <v>9</v>
      </c>
      <c r="B312" s="8">
        <v>10000000000</v>
      </c>
      <c r="C312" s="8">
        <v>297149744.13</v>
      </c>
      <c r="D312" s="8">
        <v>2628043889.5</v>
      </c>
      <c r="E312" s="8">
        <v>3826715000</v>
      </c>
    </row>
    <row r="313" spans="1:5" x14ac:dyDescent="0.25">
      <c r="A313" s="7" t="s">
        <v>381</v>
      </c>
      <c r="B313" s="8">
        <v>70000000000</v>
      </c>
      <c r="C313" s="8">
        <v>2055</v>
      </c>
      <c r="D313" s="8">
        <v>2099582.7400000002</v>
      </c>
      <c r="E313" s="8">
        <v>0</v>
      </c>
    </row>
    <row r="314" spans="1:5" x14ac:dyDescent="0.25">
      <c r="A314" s="7" t="s">
        <v>359</v>
      </c>
      <c r="B314" s="8">
        <v>20000000000</v>
      </c>
      <c r="C314" s="8">
        <v>7008990.9900000002</v>
      </c>
      <c r="D314" s="8">
        <v>18796808.43</v>
      </c>
      <c r="E314" s="8">
        <v>15054000</v>
      </c>
    </row>
    <row r="315" spans="1:5" x14ac:dyDescent="0.25">
      <c r="A315" s="7" t="s">
        <v>78</v>
      </c>
      <c r="B315" s="8">
        <v>13210100000</v>
      </c>
      <c r="C315" s="8">
        <v>66.239999999999995</v>
      </c>
      <c r="D315" s="8">
        <v>41917636.380000003</v>
      </c>
      <c r="E315" s="8">
        <v>45943000</v>
      </c>
    </row>
    <row r="316" spans="1:5" x14ac:dyDescent="0.25">
      <c r="A316" s="7" t="s">
        <v>257</v>
      </c>
      <c r="B316" s="8">
        <v>17179901002</v>
      </c>
      <c r="C316" s="8">
        <v>0</v>
      </c>
      <c r="D316" s="8">
        <v>1419.5</v>
      </c>
      <c r="E316" s="8">
        <v>0</v>
      </c>
    </row>
    <row r="317" spans="1:5" x14ac:dyDescent="0.25">
      <c r="A317" s="7" t="s">
        <v>331</v>
      </c>
      <c r="B317" s="8">
        <v>38441231001</v>
      </c>
      <c r="C317" s="8">
        <v>183293.48</v>
      </c>
      <c r="D317" s="8">
        <v>15195371.140000001</v>
      </c>
      <c r="E317" s="8">
        <v>0</v>
      </c>
    </row>
    <row r="318" spans="1:5" x14ac:dyDescent="0.25">
      <c r="A318" s="7" t="s">
        <v>332</v>
      </c>
      <c r="B318" s="8">
        <v>19220630000</v>
      </c>
      <c r="C318" s="8">
        <v>91646.74</v>
      </c>
      <c r="D318" s="8">
        <v>7597685.5700000003</v>
      </c>
      <c r="E318" s="8">
        <v>0</v>
      </c>
    </row>
    <row r="319" spans="1:5" x14ac:dyDescent="0.25">
      <c r="A319" s="7" t="s">
        <v>330</v>
      </c>
      <c r="B319" s="8">
        <v>19220000000</v>
      </c>
      <c r="C319" s="8">
        <v>91646.74</v>
      </c>
      <c r="D319" s="8">
        <v>7597685.5700000003</v>
      </c>
      <c r="E319" s="8">
        <v>0</v>
      </c>
    </row>
    <row r="320" spans="1:5" x14ac:dyDescent="0.25">
      <c r="A320" s="7" t="s">
        <v>231</v>
      </c>
      <c r="B320" s="8">
        <v>17135041001</v>
      </c>
      <c r="C320" s="8">
        <v>351947.7</v>
      </c>
      <c r="D320" s="8">
        <v>2815581.6</v>
      </c>
      <c r="E320" s="8">
        <v>4443000</v>
      </c>
    </row>
    <row r="321" spans="1:5" x14ac:dyDescent="0.25">
      <c r="A321" s="7" t="s">
        <v>221</v>
      </c>
      <c r="B321" s="8">
        <v>17135011004</v>
      </c>
      <c r="C321" s="8">
        <v>549120</v>
      </c>
      <c r="D321" s="8">
        <v>4501488</v>
      </c>
      <c r="E321" s="8">
        <v>7447000</v>
      </c>
    </row>
    <row r="322" spans="1:5" x14ac:dyDescent="0.25">
      <c r="A322" s="7" t="s">
        <v>363</v>
      </c>
      <c r="B322" s="8">
        <v>24119901005</v>
      </c>
      <c r="C322" s="8">
        <v>0</v>
      </c>
      <c r="D322" s="8">
        <v>124848</v>
      </c>
      <c r="E322" s="8">
        <v>0</v>
      </c>
    </row>
    <row r="323" spans="1:5" x14ac:dyDescent="0.25">
      <c r="A323" s="7" t="s">
        <v>223</v>
      </c>
      <c r="B323" s="8">
        <v>17135021001</v>
      </c>
      <c r="C323" s="8">
        <v>10367591.74</v>
      </c>
      <c r="D323" s="8">
        <v>83954634.150000006</v>
      </c>
      <c r="E323" s="8">
        <v>126000000</v>
      </c>
    </row>
    <row r="324" spans="1:5" x14ac:dyDescent="0.25">
      <c r="A324" s="7" t="s">
        <v>274</v>
      </c>
      <c r="B324" s="8">
        <v>17245001001</v>
      </c>
      <c r="C324" s="8">
        <v>33077.050000000003</v>
      </c>
      <c r="D324" s="8">
        <v>9291435.9000000004</v>
      </c>
      <c r="E324" s="8">
        <v>4196000</v>
      </c>
    </row>
    <row r="325" spans="1:5" x14ac:dyDescent="0.25">
      <c r="A325" s="7" t="s">
        <v>220</v>
      </c>
      <c r="B325" s="8">
        <v>17135011001</v>
      </c>
      <c r="C325" s="8">
        <v>2378651.81</v>
      </c>
      <c r="D325" s="8">
        <v>17830743.82</v>
      </c>
      <c r="E325" s="8">
        <v>25553000</v>
      </c>
    </row>
    <row r="326" spans="1:5" x14ac:dyDescent="0.25">
      <c r="A326" s="7" t="s">
        <v>229</v>
      </c>
      <c r="B326" s="8">
        <v>17135031003</v>
      </c>
      <c r="C326" s="8">
        <v>480480</v>
      </c>
      <c r="D326" s="8">
        <v>3796692</v>
      </c>
      <c r="E326" s="8">
        <v>5886000</v>
      </c>
    </row>
    <row r="327" spans="1:5" x14ac:dyDescent="0.25">
      <c r="A327" s="7" t="s">
        <v>228</v>
      </c>
      <c r="B327" s="8">
        <v>17135031002</v>
      </c>
      <c r="C327" s="8">
        <v>50717.919999999998</v>
      </c>
      <c r="D327" s="8">
        <v>405743.35999999999</v>
      </c>
      <c r="E327" s="8">
        <v>608000</v>
      </c>
    </row>
    <row r="328" spans="1:5" x14ac:dyDescent="0.25">
      <c r="A328" s="7" t="s">
        <v>227</v>
      </c>
      <c r="B328" s="8">
        <v>17135031001</v>
      </c>
      <c r="C328" s="8">
        <v>388326.63</v>
      </c>
      <c r="D328" s="8">
        <v>1450377.47</v>
      </c>
      <c r="E328" s="8">
        <v>1442000</v>
      </c>
    </row>
    <row r="329" spans="1:5" x14ac:dyDescent="0.25">
      <c r="A329" s="7" t="s">
        <v>46</v>
      </c>
      <c r="B329" s="8">
        <v>11210101005</v>
      </c>
      <c r="C329" s="8">
        <v>26085.43</v>
      </c>
      <c r="D329" s="8">
        <v>291112.11</v>
      </c>
      <c r="E329" s="8">
        <v>394000</v>
      </c>
    </row>
    <row r="330" spans="1:5" x14ac:dyDescent="0.25">
      <c r="A330" s="7" t="s">
        <v>56</v>
      </c>
      <c r="B330" s="8">
        <v>11220101003</v>
      </c>
      <c r="C330" s="8">
        <v>36.950000000000003</v>
      </c>
      <c r="D330" s="8">
        <v>943.43</v>
      </c>
      <c r="E330" s="8">
        <v>23000</v>
      </c>
    </row>
    <row r="331" spans="1:5" x14ac:dyDescent="0.25">
      <c r="A331" s="7" t="s">
        <v>54</v>
      </c>
      <c r="B331" s="8">
        <v>11220101001</v>
      </c>
      <c r="C331" s="8">
        <v>1512165.33</v>
      </c>
      <c r="D331" s="8">
        <v>24000121.280000001</v>
      </c>
      <c r="E331" s="8">
        <v>30109000</v>
      </c>
    </row>
    <row r="332" spans="1:5" x14ac:dyDescent="0.25">
      <c r="A332" s="7" t="s">
        <v>49</v>
      </c>
      <c r="B332" s="8">
        <v>11210101008</v>
      </c>
      <c r="C332" s="8">
        <v>0</v>
      </c>
      <c r="D332" s="8">
        <v>4000</v>
      </c>
      <c r="E332" s="8">
        <v>20000</v>
      </c>
    </row>
    <row r="333" spans="1:5" x14ac:dyDescent="0.25">
      <c r="A333" s="7" t="s">
        <v>55</v>
      </c>
      <c r="B333" s="8">
        <v>11220101002</v>
      </c>
      <c r="C333" s="8">
        <v>1685.7</v>
      </c>
      <c r="D333" s="8">
        <v>2319.9</v>
      </c>
      <c r="E333" s="8">
        <v>3000</v>
      </c>
    </row>
    <row r="334" spans="1:5" x14ac:dyDescent="0.25">
      <c r="A334" s="7" t="s">
        <v>51</v>
      </c>
      <c r="B334" s="8">
        <v>22430001001</v>
      </c>
      <c r="C334" s="8">
        <v>96811.5</v>
      </c>
      <c r="D334" s="8">
        <v>817488.16</v>
      </c>
      <c r="E334" s="8">
        <v>1224000</v>
      </c>
    </row>
    <row r="335" spans="1:5" x14ac:dyDescent="0.25">
      <c r="A335" s="7" t="s">
        <v>43</v>
      </c>
      <c r="B335" s="8">
        <v>11210101002</v>
      </c>
      <c r="C335" s="8">
        <v>596556.68000000005</v>
      </c>
      <c r="D335" s="8">
        <v>6997894.1299999999</v>
      </c>
      <c r="E335" s="8">
        <v>6969000</v>
      </c>
    </row>
    <row r="336" spans="1:5" x14ac:dyDescent="0.25">
      <c r="A336" s="7" t="s">
        <v>45</v>
      </c>
      <c r="B336" s="8">
        <v>11210101004</v>
      </c>
      <c r="C336" s="8">
        <v>114791.95</v>
      </c>
      <c r="D336" s="8">
        <v>958047.35</v>
      </c>
      <c r="E336" s="8">
        <v>1412000</v>
      </c>
    </row>
    <row r="337" spans="1:5" x14ac:dyDescent="0.25">
      <c r="A337" s="7" t="s">
        <v>47</v>
      </c>
      <c r="B337" s="8">
        <v>11210101006</v>
      </c>
      <c r="C337" s="8">
        <v>18163.03</v>
      </c>
      <c r="D337" s="8">
        <v>83913.01</v>
      </c>
      <c r="E337" s="8">
        <v>82000</v>
      </c>
    </row>
    <row r="338" spans="1:5" x14ac:dyDescent="0.25">
      <c r="A338" s="7" t="s">
        <v>42</v>
      </c>
      <c r="B338" s="8">
        <v>11210101001</v>
      </c>
      <c r="C338" s="8">
        <v>35023.35</v>
      </c>
      <c r="D338" s="8">
        <v>238006.17</v>
      </c>
      <c r="E338" s="8">
        <v>299000</v>
      </c>
    </row>
    <row r="339" spans="1:5" x14ac:dyDescent="0.25">
      <c r="A339" s="7" t="s">
        <v>44</v>
      </c>
      <c r="B339" s="8">
        <v>11210101003</v>
      </c>
      <c r="C339" s="8">
        <v>3070.48</v>
      </c>
      <c r="D339" s="8">
        <v>30369.02</v>
      </c>
      <c r="E339" s="8">
        <v>30000</v>
      </c>
    </row>
    <row r="340" spans="1:5" x14ac:dyDescent="0.25">
      <c r="A340" s="7" t="s">
        <v>57</v>
      </c>
      <c r="B340" s="8">
        <v>11220101004</v>
      </c>
      <c r="C340" s="8">
        <v>685.2</v>
      </c>
      <c r="D340" s="8">
        <v>4796.3999999999996</v>
      </c>
      <c r="E340" s="8">
        <v>11000</v>
      </c>
    </row>
    <row r="341" spans="1:5" x14ac:dyDescent="0.25">
      <c r="A341" s="7" t="s">
        <v>48</v>
      </c>
      <c r="B341" s="8">
        <v>11210101007</v>
      </c>
      <c r="C341" s="8">
        <v>2.1800000000000002</v>
      </c>
      <c r="D341" s="8">
        <v>15.26</v>
      </c>
      <c r="E341" s="8">
        <v>116000</v>
      </c>
    </row>
    <row r="342" spans="1:5" x14ac:dyDescent="0.25">
      <c r="A342" s="7" t="s">
        <v>39</v>
      </c>
      <c r="B342" s="8">
        <v>11200000000</v>
      </c>
      <c r="C342" s="8">
        <v>2380769.56</v>
      </c>
      <c r="D342" s="8">
        <v>33088466.960000001</v>
      </c>
      <c r="E342" s="8">
        <v>40169000</v>
      </c>
    </row>
    <row r="343" spans="1:5" x14ac:dyDescent="0.25">
      <c r="A343" s="7" t="s">
        <v>41</v>
      </c>
      <c r="B343" s="8">
        <v>11210100000</v>
      </c>
      <c r="C343" s="8">
        <v>817790.63</v>
      </c>
      <c r="D343" s="8">
        <v>8671541.8699999992</v>
      </c>
      <c r="E343" s="8">
        <v>9411000</v>
      </c>
    </row>
    <row r="344" spans="1:5" x14ac:dyDescent="0.25">
      <c r="A344" s="7" t="s">
        <v>50</v>
      </c>
      <c r="B344" s="8">
        <v>11210102001</v>
      </c>
      <c r="C344" s="8">
        <v>24097.53</v>
      </c>
      <c r="D344" s="8">
        <v>68184.820000000007</v>
      </c>
      <c r="E344" s="8">
        <v>89000</v>
      </c>
    </row>
    <row r="345" spans="1:5" x14ac:dyDescent="0.25">
      <c r="A345" s="7" t="s">
        <v>53</v>
      </c>
      <c r="B345" s="8">
        <v>22440100000</v>
      </c>
      <c r="C345" s="8">
        <v>3029146.36</v>
      </c>
      <c r="D345" s="8">
        <v>48016362.020000003</v>
      </c>
      <c r="E345" s="8">
        <v>60292000</v>
      </c>
    </row>
    <row r="346" spans="1:5" x14ac:dyDescent="0.25">
      <c r="A346" s="7" t="s">
        <v>40</v>
      </c>
      <c r="B346" s="8">
        <v>11210000000</v>
      </c>
      <c r="C346" s="8">
        <v>866196.38</v>
      </c>
      <c r="D346" s="8">
        <v>9080285.9499999993</v>
      </c>
      <c r="E346" s="8">
        <v>10023000</v>
      </c>
    </row>
    <row r="347" spans="1:5" x14ac:dyDescent="0.25">
      <c r="A347" s="7" t="s">
        <v>224</v>
      </c>
      <c r="B347" s="8">
        <v>17135021002</v>
      </c>
      <c r="C347" s="8">
        <v>0</v>
      </c>
      <c r="D347" s="8">
        <v>300000</v>
      </c>
      <c r="E347" s="8">
        <v>0</v>
      </c>
    </row>
    <row r="348" spans="1:5" x14ac:dyDescent="0.25">
      <c r="A348" s="7" t="s">
        <v>236</v>
      </c>
      <c r="B348" s="8">
        <v>17145001001</v>
      </c>
      <c r="C348" s="8">
        <v>4842261.21</v>
      </c>
      <c r="D348" s="8">
        <v>42564538.329999998</v>
      </c>
      <c r="E348" s="8">
        <v>59931000</v>
      </c>
    </row>
    <row r="349" spans="1:5" x14ac:dyDescent="0.25">
      <c r="A349" s="7" t="s">
        <v>259</v>
      </c>
      <c r="B349" s="8">
        <v>17195800000</v>
      </c>
      <c r="C349" s="8">
        <v>317672.92</v>
      </c>
      <c r="D349" s="8">
        <v>2541383.36</v>
      </c>
      <c r="E349" s="8">
        <v>3885000</v>
      </c>
    </row>
    <row r="350" spans="1:5" x14ac:dyDescent="0.25">
      <c r="A350" s="7" t="s">
        <v>193</v>
      </c>
      <c r="B350" s="8">
        <v>17000000000</v>
      </c>
      <c r="C350" s="8">
        <v>190973839.03999999</v>
      </c>
      <c r="D350" s="8">
        <v>1635207119.04</v>
      </c>
      <c r="E350" s="8">
        <v>2486335000</v>
      </c>
    </row>
    <row r="351" spans="1:5" x14ac:dyDescent="0.25">
      <c r="A351" s="7" t="s">
        <v>194</v>
      </c>
      <c r="B351" s="8">
        <v>41200000000</v>
      </c>
      <c r="C351" s="8">
        <v>38094872.710000001</v>
      </c>
      <c r="D351" s="8">
        <v>278190951.44999999</v>
      </c>
      <c r="E351" s="8">
        <v>389736000</v>
      </c>
    </row>
    <row r="352" spans="1:5" x14ac:dyDescent="0.25">
      <c r="A352" s="7" t="s">
        <v>205</v>
      </c>
      <c r="B352" s="8">
        <v>17120000000</v>
      </c>
      <c r="C352" s="8">
        <v>1081031.83</v>
      </c>
      <c r="D352" s="8">
        <v>9404496.1400000006</v>
      </c>
      <c r="E352" s="8">
        <v>16483000</v>
      </c>
    </row>
    <row r="353" spans="1:5" x14ac:dyDescent="0.25">
      <c r="A353" s="7" t="s">
        <v>360</v>
      </c>
      <c r="B353" s="8">
        <v>24000000000</v>
      </c>
      <c r="C353" s="8">
        <v>7008990.9900000002</v>
      </c>
      <c r="D353" s="8">
        <v>18796808.43</v>
      </c>
      <c r="E353" s="8">
        <v>15054000</v>
      </c>
    </row>
    <row r="354" spans="1:5" x14ac:dyDescent="0.25">
      <c r="A354" s="7" t="s">
        <v>254</v>
      </c>
      <c r="B354" s="8">
        <v>17170000000</v>
      </c>
      <c r="C354" s="8">
        <v>0</v>
      </c>
      <c r="D354" s="8">
        <v>496123.68</v>
      </c>
      <c r="E354" s="8">
        <v>499000</v>
      </c>
    </row>
    <row r="355" spans="1:5" x14ac:dyDescent="0.25">
      <c r="A355" s="7" t="s">
        <v>365</v>
      </c>
      <c r="B355" s="8">
        <v>24140000000</v>
      </c>
      <c r="C355" s="8">
        <v>165811.51999999999</v>
      </c>
      <c r="D355" s="8">
        <v>2200640.1800000002</v>
      </c>
      <c r="E355" s="8">
        <v>0</v>
      </c>
    </row>
    <row r="356" spans="1:5" x14ac:dyDescent="0.25">
      <c r="A356" s="7" t="s">
        <v>290</v>
      </c>
      <c r="B356" s="8">
        <v>17415000000</v>
      </c>
      <c r="C356" s="8">
        <v>0</v>
      </c>
      <c r="D356" s="8">
        <v>0</v>
      </c>
      <c r="E356" s="8">
        <v>44000</v>
      </c>
    </row>
    <row r="357" spans="1:5" x14ac:dyDescent="0.25">
      <c r="A357" s="7" t="s">
        <v>276</v>
      </c>
      <c r="B357" s="8">
        <v>17245100000</v>
      </c>
      <c r="C357" s="8">
        <v>6368726.7800000003</v>
      </c>
      <c r="D357" s="8">
        <v>49217199.439999998</v>
      </c>
      <c r="E357" s="8">
        <v>28160000</v>
      </c>
    </row>
    <row r="358" spans="1:5" x14ac:dyDescent="0.25">
      <c r="A358" s="7" t="s">
        <v>272</v>
      </c>
      <c r="B358" s="8">
        <v>17240000000</v>
      </c>
      <c r="C358" s="8">
        <v>7051803.8300000001</v>
      </c>
      <c r="D358" s="8">
        <v>60207000.549999997</v>
      </c>
      <c r="E358" s="8">
        <v>36491000</v>
      </c>
    </row>
    <row r="359" spans="1:5" x14ac:dyDescent="0.25">
      <c r="A359" s="7" t="s">
        <v>372</v>
      </c>
      <c r="B359" s="8">
        <v>24220000000</v>
      </c>
      <c r="C359" s="8">
        <v>150131.31</v>
      </c>
      <c r="D359" s="8">
        <v>150131.31</v>
      </c>
      <c r="E359" s="8">
        <v>5522000</v>
      </c>
    </row>
    <row r="360" spans="1:5" x14ac:dyDescent="0.25">
      <c r="A360" s="7" t="s">
        <v>273</v>
      </c>
      <c r="B360" s="8">
        <v>17245000000</v>
      </c>
      <c r="C360" s="8">
        <v>683077.05</v>
      </c>
      <c r="D360" s="8">
        <v>9941435.9000000004</v>
      </c>
      <c r="E360" s="8">
        <v>4196000</v>
      </c>
    </row>
    <row r="361" spans="1:5" x14ac:dyDescent="0.25">
      <c r="A361" s="7" t="s">
        <v>284</v>
      </c>
      <c r="B361" s="8">
        <v>17295100000</v>
      </c>
      <c r="C361" s="8">
        <v>141696.4</v>
      </c>
      <c r="D361" s="8">
        <v>1433382.93</v>
      </c>
      <c r="E361" s="8">
        <v>1700000</v>
      </c>
    </row>
    <row r="362" spans="1:5" x14ac:dyDescent="0.25">
      <c r="A362" s="7" t="s">
        <v>289</v>
      </c>
      <c r="B362" s="8">
        <v>83620000000</v>
      </c>
      <c r="C362" s="8">
        <v>2680534.3199999998</v>
      </c>
      <c r="D362" s="8">
        <v>19488953.879999999</v>
      </c>
      <c r="E362" s="8">
        <v>19152000</v>
      </c>
    </row>
    <row r="363" spans="1:5" x14ac:dyDescent="0.25">
      <c r="A363" s="7" t="s">
        <v>292</v>
      </c>
      <c r="B363" s="8">
        <v>17500000000</v>
      </c>
      <c r="C363" s="8">
        <v>36549517.600000001</v>
      </c>
      <c r="D363" s="8">
        <v>306033326.47000003</v>
      </c>
      <c r="E363" s="8">
        <v>497739000</v>
      </c>
    </row>
    <row r="364" spans="1:5" x14ac:dyDescent="0.25">
      <c r="A364" s="7" t="s">
        <v>230</v>
      </c>
      <c r="B364" s="8">
        <v>17135040000</v>
      </c>
      <c r="C364" s="8">
        <v>351947.7</v>
      </c>
      <c r="D364" s="8">
        <v>2815581.6</v>
      </c>
      <c r="E364" s="8">
        <v>4443000</v>
      </c>
    </row>
    <row r="365" spans="1:5" x14ac:dyDescent="0.25">
      <c r="A365" s="7" t="s">
        <v>222</v>
      </c>
      <c r="B365" s="8">
        <v>17135020000</v>
      </c>
      <c r="C365" s="8">
        <v>10367591.74</v>
      </c>
      <c r="D365" s="8">
        <v>89034420.810000002</v>
      </c>
      <c r="E365" s="8">
        <v>126000000</v>
      </c>
    </row>
    <row r="366" spans="1:5" x14ac:dyDescent="0.25">
      <c r="A366" s="7" t="s">
        <v>219</v>
      </c>
      <c r="B366" s="8">
        <v>17135010000</v>
      </c>
      <c r="C366" s="8">
        <v>2927771.81</v>
      </c>
      <c r="D366" s="8">
        <v>22332231.82</v>
      </c>
      <c r="E366" s="8">
        <v>33000000</v>
      </c>
    </row>
    <row r="367" spans="1:5" x14ac:dyDescent="0.25">
      <c r="A367" s="7" t="s">
        <v>232</v>
      </c>
      <c r="B367" s="8">
        <v>17135050000</v>
      </c>
      <c r="C367" s="8">
        <v>1970517</v>
      </c>
      <c r="D367" s="8">
        <v>1970517</v>
      </c>
      <c r="E367" s="8">
        <v>0</v>
      </c>
    </row>
    <row r="368" spans="1:5" x14ac:dyDescent="0.25">
      <c r="A368" s="7" t="s">
        <v>226</v>
      </c>
      <c r="B368" s="8">
        <v>17135030000</v>
      </c>
      <c r="C368" s="8">
        <v>919524.55</v>
      </c>
      <c r="D368" s="8">
        <v>5652812.8300000001</v>
      </c>
      <c r="E368" s="8">
        <v>7936000</v>
      </c>
    </row>
    <row r="369" spans="1:5" x14ac:dyDescent="0.25">
      <c r="A369" s="7" t="s">
        <v>293</v>
      </c>
      <c r="B369" s="8">
        <v>17510000000</v>
      </c>
      <c r="C369" s="8">
        <v>36549517.600000001</v>
      </c>
      <c r="D369" s="8">
        <v>306033326.47000003</v>
      </c>
      <c r="E369" s="8">
        <v>497739000</v>
      </c>
    </row>
    <row r="370" spans="1:5" x14ac:dyDescent="0.25">
      <c r="A370" s="7" t="s">
        <v>294</v>
      </c>
      <c r="B370" s="8">
        <v>17515000000</v>
      </c>
      <c r="C370" s="8">
        <v>36549517.600000001</v>
      </c>
      <c r="D370" s="8">
        <v>306033326.47000003</v>
      </c>
      <c r="E370" s="8">
        <v>497739000</v>
      </c>
    </row>
    <row r="371" spans="1:5" x14ac:dyDescent="0.25">
      <c r="A371" s="7" t="s">
        <v>250</v>
      </c>
      <c r="B371" s="8">
        <v>17165001001</v>
      </c>
      <c r="C371" s="8">
        <v>213036.2</v>
      </c>
      <c r="D371" s="8">
        <v>1726374.29</v>
      </c>
      <c r="E371" s="8">
        <v>1379000</v>
      </c>
    </row>
    <row r="372" spans="1:5" x14ac:dyDescent="0.25">
      <c r="A372" s="7" t="s">
        <v>249</v>
      </c>
      <c r="B372" s="8">
        <v>41300000000</v>
      </c>
      <c r="C372" s="8">
        <v>334119.28000000003</v>
      </c>
      <c r="D372" s="8">
        <v>3112745.8</v>
      </c>
      <c r="E372" s="8">
        <v>3476000</v>
      </c>
    </row>
    <row r="373" spans="1:5" x14ac:dyDescent="0.25">
      <c r="A373" s="7" t="s">
        <v>248</v>
      </c>
      <c r="B373" s="8">
        <v>41290000000</v>
      </c>
      <c r="C373" s="8">
        <v>334119.28000000003</v>
      </c>
      <c r="D373" s="8">
        <v>3112745.8</v>
      </c>
      <c r="E373" s="8">
        <v>3476000</v>
      </c>
    </row>
    <row r="374" spans="1:5" x14ac:dyDescent="0.25">
      <c r="A374" s="7" t="s">
        <v>234</v>
      </c>
      <c r="B374" s="8">
        <v>17140000000</v>
      </c>
      <c r="C374" s="8">
        <v>6084392.71</v>
      </c>
      <c r="D374" s="8">
        <v>50609652.390000001</v>
      </c>
      <c r="E374" s="8">
        <v>71693000</v>
      </c>
    </row>
    <row r="375" spans="1:5" x14ac:dyDescent="0.25">
      <c r="A375" s="7" t="s">
        <v>361</v>
      </c>
      <c r="B375" s="8">
        <v>24110000000</v>
      </c>
      <c r="C375" s="8">
        <v>0</v>
      </c>
      <c r="D375" s="8">
        <v>124848</v>
      </c>
      <c r="E375" s="8">
        <v>0</v>
      </c>
    </row>
    <row r="376" spans="1:5" x14ac:dyDescent="0.25">
      <c r="A376" s="7" t="s">
        <v>218</v>
      </c>
      <c r="B376" s="8">
        <v>17135000000</v>
      </c>
      <c r="C376" s="8">
        <v>16537352.800000001</v>
      </c>
      <c r="D376" s="8">
        <v>121805564.06</v>
      </c>
      <c r="E376" s="8">
        <v>171379000</v>
      </c>
    </row>
    <row r="377" spans="1:5" x14ac:dyDescent="0.25">
      <c r="A377" s="7" t="s">
        <v>217</v>
      </c>
      <c r="B377" s="8">
        <v>17130000000</v>
      </c>
      <c r="C377" s="8">
        <v>16537352.800000001</v>
      </c>
      <c r="D377" s="8">
        <v>121805564.06</v>
      </c>
      <c r="E377" s="8">
        <v>171379000</v>
      </c>
    </row>
    <row r="378" spans="1:5" x14ac:dyDescent="0.25">
      <c r="A378" s="7" t="s">
        <v>195</v>
      </c>
      <c r="B378" s="8">
        <v>17110000000</v>
      </c>
      <c r="C378" s="8">
        <v>8221710.6500000004</v>
      </c>
      <c r="D378" s="8">
        <v>81275661.390000001</v>
      </c>
      <c r="E378" s="8">
        <v>122321000</v>
      </c>
    </row>
    <row r="379" spans="1:5" x14ac:dyDescent="0.25">
      <c r="A379" s="7" t="s">
        <v>237</v>
      </c>
      <c r="B379" s="8">
        <v>17145100000</v>
      </c>
      <c r="C379" s="8">
        <v>0</v>
      </c>
      <c r="D379" s="8">
        <v>1320</v>
      </c>
      <c r="E379" s="8">
        <v>0</v>
      </c>
    </row>
    <row r="380" spans="1:5" x14ac:dyDescent="0.25">
      <c r="A380" s="7" t="s">
        <v>235</v>
      </c>
      <c r="B380" s="8">
        <v>17145000000</v>
      </c>
      <c r="C380" s="8">
        <v>4842261.21</v>
      </c>
      <c r="D380" s="8">
        <v>42564538.329999998</v>
      </c>
      <c r="E380" s="8">
        <v>59931000</v>
      </c>
    </row>
    <row r="381" spans="1:5" x14ac:dyDescent="0.25">
      <c r="A381" s="7" t="s">
        <v>262</v>
      </c>
      <c r="B381" s="8">
        <v>41400000000</v>
      </c>
      <c r="C381" s="8">
        <v>121998172.56</v>
      </c>
      <c r="D381" s="8">
        <v>1060035172.6099999</v>
      </c>
      <c r="E381" s="8">
        <v>1604338000</v>
      </c>
    </row>
    <row r="382" spans="1:5" x14ac:dyDescent="0.25">
      <c r="A382" s="7" t="s">
        <v>239</v>
      </c>
      <c r="B382" s="8">
        <v>17145200000</v>
      </c>
      <c r="C382" s="8">
        <v>1133268.08</v>
      </c>
      <c r="D382" s="8">
        <v>7656338.4800000004</v>
      </c>
      <c r="E382" s="8">
        <v>11055000</v>
      </c>
    </row>
    <row r="383" spans="1:5" x14ac:dyDescent="0.25">
      <c r="A383" s="7" t="s">
        <v>246</v>
      </c>
      <c r="B383" s="8">
        <v>17145300000</v>
      </c>
      <c r="C383" s="8">
        <v>108863.42</v>
      </c>
      <c r="D383" s="8">
        <v>387455.58</v>
      </c>
      <c r="E383" s="8">
        <v>707000</v>
      </c>
    </row>
    <row r="384" spans="1:5" x14ac:dyDescent="0.25">
      <c r="A384" s="7" t="s">
        <v>76</v>
      </c>
      <c r="B384" s="8">
        <v>13200000000</v>
      </c>
      <c r="C384" s="8">
        <v>66.239999999999995</v>
      </c>
      <c r="D384" s="8">
        <v>41952088.399999999</v>
      </c>
      <c r="E384" s="8">
        <v>46042000</v>
      </c>
    </row>
    <row r="385" spans="1:5" x14ac:dyDescent="0.25">
      <c r="A385" s="7" t="s">
        <v>342</v>
      </c>
      <c r="B385" s="8">
        <v>19999921006</v>
      </c>
      <c r="C385" s="8">
        <v>223832.39</v>
      </c>
      <c r="D385" s="8">
        <v>2005346.92</v>
      </c>
      <c r="E385" s="8">
        <v>2016000</v>
      </c>
    </row>
    <row r="386" spans="1:5" x14ac:dyDescent="0.25">
      <c r="A386" s="7" t="s">
        <v>406</v>
      </c>
      <c r="B386" s="8"/>
      <c r="C386" s="8"/>
      <c r="D386" s="8"/>
      <c r="E386" s="8"/>
    </row>
    <row r="387" spans="1:5" x14ac:dyDescent="0.25">
      <c r="A387" s="7" t="s">
        <v>397</v>
      </c>
      <c r="B387" s="8">
        <v>15774335695363</v>
      </c>
      <c r="C387" s="8">
        <v>1799149175.1099997</v>
      </c>
      <c r="D387" s="8">
        <v>15549601119.329994</v>
      </c>
      <c r="E387" s="8">
        <v>22395692000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D7:K15"/>
  <sheetViews>
    <sheetView workbookViewId="0">
      <selection activeCell="D7" sqref="D7"/>
    </sheetView>
  </sheetViews>
  <sheetFormatPr defaultRowHeight="15" x14ac:dyDescent="0.25"/>
  <cols>
    <col min="5" max="5" width="23.5703125" customWidth="1"/>
    <col min="6" max="6" width="17.7109375" customWidth="1"/>
  </cols>
  <sheetData>
    <row r="7" spans="4:11" x14ac:dyDescent="0.25">
      <c r="D7" s="1">
        <v>0</v>
      </c>
      <c r="E7" s="2" t="s">
        <v>2</v>
      </c>
      <c r="F7" s="3">
        <f>INDEX(balancete_receita!A:I,Planilha1!D7,3)</f>
        <v>11125001001</v>
      </c>
    </row>
    <row r="8" spans="4:11" x14ac:dyDescent="0.25">
      <c r="E8" s="2" t="s">
        <v>404</v>
      </c>
      <c r="F8" s="3">
        <f>INDEX(TabReceita[],D7,7)</f>
        <v>4098050.24</v>
      </c>
    </row>
    <row r="9" spans="4:11" x14ac:dyDescent="0.25">
      <c r="E9" s="2" t="s">
        <v>403</v>
      </c>
      <c r="F9" s="3">
        <f>INDEX(TabReceita[],D7,8)</f>
        <v>1658642.32</v>
      </c>
    </row>
    <row r="10" spans="4:11" x14ac:dyDescent="0.25">
      <c r="E10" s="2" t="s">
        <v>405</v>
      </c>
      <c r="F10" s="3">
        <f>INDEX(TabReceita[],D7,9)</f>
        <v>47957000</v>
      </c>
    </row>
    <row r="15" spans="4:11" x14ac:dyDescent="0.25">
      <c r="K15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Drop Down 7">
              <controlPr defaultSize="0" autoLine="0" autoPict="0">
                <anchor moveWithCells="1">
                  <from>
                    <xdr:col>4</xdr:col>
                    <xdr:colOff>0</xdr:colOff>
                    <xdr:row>1</xdr:row>
                    <xdr:rowOff>19050</xdr:rowOff>
                  </from>
                  <to>
                    <xdr:col>10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Macro1">
                <anchor moveWithCells="1" sizeWithCells="1">
                  <from>
                    <xdr:col>4</xdr:col>
                    <xdr:colOff>1485900</xdr:colOff>
                    <xdr:row>13</xdr:row>
                    <xdr:rowOff>9525</xdr:rowOff>
                  </from>
                  <to>
                    <xdr:col>8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balancete_receita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2023-09-01T01:20:20Z</dcterms:created>
  <dcterms:modified xsi:type="dcterms:W3CDTF">2023-09-29T01:00:42Z</dcterms:modified>
</cp:coreProperties>
</file>